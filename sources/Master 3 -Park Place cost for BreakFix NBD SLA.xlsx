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Tools\Work Order Docs\"/>
    </mc:Choice>
  </mc:AlternateContent>
  <xr:revisionPtr revIDLastSave="0" documentId="8_{E4E5CFE0-001C-4289-AF64-703AB66CE8B1}" xr6:coauthVersionLast="47" xr6:coauthVersionMax="47" xr10:uidLastSave="{00000000-0000-0000-0000-000000000000}"/>
  <bookViews>
    <workbookView xWindow="28680" yWindow="-120" windowWidth="29040" windowHeight="15720" xr2:uid="{D0C74812-DEF8-484A-BDA1-6C47864D4BC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1" l="1"/>
  <c r="Q26" i="1"/>
  <c r="P26" i="1"/>
  <c r="O26" i="1"/>
  <c r="N26" i="1"/>
  <c r="M26" i="1"/>
  <c r="L26" i="1"/>
  <c r="K26" i="1"/>
  <c r="J26" i="1"/>
  <c r="I26" i="1"/>
  <c r="H26" i="1"/>
  <c r="G26" i="1"/>
  <c r="F26" i="1"/>
  <c r="E26" i="1"/>
  <c r="D26" i="1"/>
  <c r="C26" i="1"/>
  <c r="B26" i="1"/>
  <c r="R25" i="1"/>
  <c r="Q25" i="1"/>
  <c r="P25" i="1"/>
  <c r="O25" i="1"/>
  <c r="N25" i="1"/>
  <c r="M25" i="1"/>
  <c r="L25" i="1"/>
  <c r="K25" i="1"/>
  <c r="J25" i="1"/>
  <c r="I25" i="1"/>
  <c r="H25" i="1"/>
  <c r="G25" i="1"/>
  <c r="F25" i="1"/>
  <c r="E25" i="1"/>
  <c r="D25" i="1"/>
  <c r="C25" i="1"/>
  <c r="B25" i="1"/>
  <c r="R24" i="1"/>
  <c r="Q24" i="1"/>
  <c r="P24" i="1"/>
  <c r="O24" i="1"/>
  <c r="N24" i="1"/>
  <c r="M24" i="1"/>
  <c r="L24" i="1"/>
  <c r="K24" i="1"/>
  <c r="J24" i="1"/>
  <c r="I24" i="1"/>
  <c r="H24" i="1"/>
  <c r="G24" i="1"/>
  <c r="F24" i="1"/>
  <c r="E24" i="1"/>
  <c r="D24" i="1"/>
  <c r="C24" i="1"/>
  <c r="B24" i="1"/>
  <c r="R23" i="1"/>
  <c r="Q23" i="1"/>
  <c r="P23" i="1"/>
  <c r="O23" i="1"/>
  <c r="N23" i="1"/>
  <c r="M23" i="1"/>
  <c r="L23" i="1"/>
  <c r="K23" i="1"/>
  <c r="J23" i="1"/>
  <c r="I23" i="1"/>
  <c r="H23" i="1"/>
  <c r="G23" i="1"/>
  <c r="F23" i="1"/>
  <c r="E23" i="1"/>
  <c r="D23" i="1"/>
  <c r="C23" i="1"/>
  <c r="B23" i="1"/>
  <c r="R22" i="1"/>
  <c r="Q22" i="1"/>
  <c r="P22" i="1"/>
  <c r="O22" i="1"/>
  <c r="N22" i="1"/>
  <c r="M22" i="1"/>
  <c r="L22" i="1"/>
  <c r="K22" i="1"/>
  <c r="J22" i="1"/>
  <c r="I22" i="1"/>
  <c r="H22" i="1"/>
  <c r="G22" i="1"/>
  <c r="F22" i="1"/>
  <c r="E22" i="1"/>
  <c r="D22" i="1"/>
  <c r="C22" i="1"/>
  <c r="B22" i="1"/>
  <c r="R21" i="1"/>
  <c r="Q21" i="1"/>
  <c r="P21" i="1"/>
  <c r="O21" i="1"/>
  <c r="N21" i="1"/>
  <c r="M21" i="1"/>
  <c r="L21" i="1"/>
  <c r="K21" i="1"/>
  <c r="J21" i="1"/>
  <c r="I21" i="1"/>
  <c r="H21" i="1"/>
  <c r="G21" i="1"/>
  <c r="F21" i="1"/>
  <c r="E21" i="1"/>
  <c r="D21" i="1"/>
  <c r="C21" i="1"/>
  <c r="B21" i="1"/>
  <c r="R20" i="1"/>
  <c r="Q20" i="1"/>
  <c r="P20" i="1"/>
  <c r="O20" i="1"/>
  <c r="N20" i="1"/>
  <c r="M20" i="1"/>
  <c r="L20" i="1"/>
  <c r="K20" i="1"/>
  <c r="J20" i="1"/>
  <c r="I20" i="1"/>
  <c r="H20" i="1"/>
  <c r="G20" i="1"/>
  <c r="F20" i="1"/>
  <c r="E20" i="1"/>
  <c r="D20" i="1"/>
  <c r="C20" i="1"/>
  <c r="B20" i="1"/>
  <c r="R19" i="1"/>
  <c r="Q19" i="1"/>
  <c r="P19" i="1"/>
  <c r="O19" i="1"/>
  <c r="N19" i="1"/>
  <c r="M19" i="1"/>
  <c r="L19" i="1"/>
  <c r="K19" i="1"/>
  <c r="J19" i="1"/>
  <c r="I19" i="1"/>
  <c r="H19" i="1"/>
  <c r="G19" i="1"/>
  <c r="F19" i="1"/>
  <c r="E19" i="1"/>
  <c r="D19" i="1"/>
  <c r="C19" i="1"/>
  <c r="B19" i="1"/>
  <c r="R18" i="1"/>
  <c r="Q18" i="1"/>
  <c r="P18" i="1"/>
  <c r="O18" i="1"/>
  <c r="N18" i="1"/>
  <c r="M18" i="1"/>
  <c r="L18" i="1"/>
  <c r="K18" i="1"/>
  <c r="J18" i="1"/>
  <c r="I18" i="1"/>
  <c r="H18" i="1"/>
  <c r="G18" i="1"/>
  <c r="F18" i="1"/>
  <c r="E18" i="1"/>
  <c r="D18" i="1"/>
  <c r="C18" i="1"/>
  <c r="B18" i="1"/>
  <c r="R17" i="1"/>
  <c r="Q17" i="1"/>
  <c r="P17" i="1"/>
  <c r="O17" i="1"/>
  <c r="N17" i="1"/>
  <c r="M17" i="1"/>
  <c r="L17" i="1"/>
  <c r="K17" i="1"/>
  <c r="J17" i="1"/>
  <c r="I17" i="1"/>
  <c r="H17" i="1"/>
  <c r="G17" i="1"/>
  <c r="F17" i="1"/>
  <c r="E17" i="1"/>
  <c r="D17" i="1"/>
  <c r="C17" i="1"/>
  <c r="B17" i="1"/>
  <c r="R16" i="1"/>
  <c r="Q16" i="1"/>
  <c r="P16" i="1"/>
  <c r="O16" i="1"/>
  <c r="N16" i="1"/>
  <c r="M16" i="1"/>
  <c r="L16" i="1"/>
  <c r="K16" i="1"/>
  <c r="J16" i="1"/>
  <c r="I16" i="1"/>
  <c r="H16" i="1"/>
  <c r="G16" i="1"/>
  <c r="F16" i="1"/>
  <c r="E16" i="1"/>
  <c r="D16" i="1"/>
  <c r="C16" i="1"/>
  <c r="B16" i="1"/>
  <c r="R15" i="1"/>
  <c r="Q15" i="1"/>
  <c r="P15" i="1"/>
  <c r="O15" i="1"/>
  <c r="N15" i="1"/>
  <c r="M15" i="1"/>
  <c r="L15" i="1"/>
  <c r="K15" i="1"/>
  <c r="J15" i="1"/>
  <c r="I15" i="1"/>
  <c r="H15" i="1"/>
  <c r="G15" i="1"/>
  <c r="F15" i="1"/>
  <c r="E15" i="1"/>
  <c r="D15" i="1"/>
  <c r="C15" i="1"/>
  <c r="B15" i="1"/>
  <c r="R14" i="1"/>
  <c r="Q14" i="1"/>
  <c r="P14" i="1"/>
  <c r="O14" i="1"/>
  <c r="N14" i="1"/>
  <c r="M14" i="1"/>
  <c r="L14" i="1"/>
  <c r="K14" i="1"/>
  <c r="J14" i="1"/>
  <c r="I14" i="1"/>
  <c r="H14" i="1"/>
  <c r="G14" i="1"/>
  <c r="F14" i="1"/>
  <c r="E14" i="1"/>
  <c r="D14" i="1"/>
  <c r="C14" i="1"/>
  <c r="B14" i="1"/>
  <c r="R13" i="1"/>
  <c r="Q13" i="1"/>
  <c r="P13" i="1"/>
  <c r="O13" i="1"/>
  <c r="N13" i="1"/>
  <c r="M13" i="1"/>
  <c r="L13" i="1"/>
  <c r="K13" i="1"/>
  <c r="J13" i="1"/>
  <c r="I13" i="1"/>
  <c r="H13" i="1"/>
  <c r="G13" i="1"/>
  <c r="F13" i="1"/>
  <c r="E13" i="1"/>
  <c r="D13" i="1"/>
  <c r="C13" i="1"/>
  <c r="B13" i="1"/>
  <c r="R12" i="1"/>
  <c r="Q12" i="1"/>
  <c r="P12" i="1"/>
  <c r="O12" i="1"/>
  <c r="N12" i="1"/>
  <c r="M12" i="1"/>
  <c r="L12" i="1"/>
  <c r="K12" i="1"/>
  <c r="J12" i="1"/>
  <c r="I12" i="1"/>
  <c r="H12" i="1"/>
  <c r="G12" i="1"/>
  <c r="F12" i="1"/>
  <c r="E12" i="1"/>
  <c r="D12" i="1"/>
  <c r="C12" i="1"/>
  <c r="B12" i="1"/>
  <c r="R11" i="1"/>
  <c r="Q11" i="1"/>
  <c r="P11" i="1"/>
  <c r="O11" i="1"/>
  <c r="N11" i="1"/>
  <c r="M11" i="1"/>
  <c r="L11" i="1"/>
  <c r="K11" i="1"/>
  <c r="J11" i="1"/>
  <c r="I11" i="1"/>
  <c r="H11" i="1"/>
  <c r="G11" i="1"/>
  <c r="F11" i="1"/>
  <c r="E11" i="1"/>
  <c r="D11" i="1"/>
  <c r="C11" i="1"/>
  <c r="B11" i="1"/>
  <c r="R10" i="1"/>
  <c r="Q10" i="1"/>
  <c r="P10" i="1"/>
  <c r="O10" i="1"/>
  <c r="N10" i="1"/>
  <c r="M10" i="1"/>
  <c r="L10" i="1"/>
  <c r="K10" i="1"/>
  <c r="J10" i="1"/>
  <c r="I10" i="1"/>
  <c r="H10" i="1"/>
  <c r="G10" i="1"/>
  <c r="F10" i="1"/>
  <c r="E10" i="1"/>
  <c r="D10" i="1"/>
  <c r="C10" i="1"/>
  <c r="B10" i="1"/>
  <c r="R9" i="1"/>
  <c r="Q9" i="1"/>
  <c r="P9" i="1"/>
  <c r="O9" i="1"/>
  <c r="N9" i="1"/>
  <c r="M9" i="1"/>
  <c r="L9" i="1"/>
  <c r="K9" i="1"/>
  <c r="J9" i="1"/>
  <c r="I9" i="1"/>
  <c r="H9" i="1"/>
  <c r="G9" i="1"/>
  <c r="F9" i="1"/>
  <c r="E9" i="1"/>
  <c r="D9" i="1"/>
  <c r="C9" i="1"/>
  <c r="B9" i="1"/>
  <c r="R8" i="1"/>
  <c r="Q8" i="1"/>
  <c r="P8" i="1"/>
  <c r="O8" i="1"/>
  <c r="N8" i="1"/>
  <c r="M8" i="1"/>
  <c r="L8" i="1"/>
  <c r="K8" i="1"/>
  <c r="J8" i="1"/>
  <c r="I8" i="1"/>
  <c r="H8" i="1"/>
  <c r="G8" i="1"/>
  <c r="F8" i="1"/>
  <c r="E8" i="1"/>
  <c r="D8" i="1"/>
  <c r="C8" i="1"/>
  <c r="B8" i="1"/>
  <c r="R7" i="1"/>
  <c r="Q7" i="1"/>
  <c r="P7" i="1"/>
  <c r="O7" i="1"/>
  <c r="N7" i="1"/>
  <c r="M7" i="1"/>
  <c r="L7" i="1"/>
  <c r="K7" i="1"/>
  <c r="J7" i="1"/>
  <c r="I7" i="1"/>
  <c r="H7" i="1"/>
  <c r="G7" i="1"/>
  <c r="F7" i="1"/>
  <c r="E7" i="1"/>
  <c r="D7" i="1"/>
  <c r="C7" i="1"/>
  <c r="B7" i="1"/>
  <c r="R6" i="1"/>
  <c r="Q6" i="1"/>
  <c r="P6" i="1"/>
  <c r="O6" i="1"/>
  <c r="N6" i="1"/>
  <c r="M6" i="1"/>
  <c r="L6" i="1"/>
  <c r="K6" i="1"/>
  <c r="J6" i="1"/>
  <c r="I6" i="1"/>
  <c r="H6" i="1"/>
  <c r="G6" i="1"/>
  <c r="F6" i="1"/>
  <c r="E6" i="1"/>
  <c r="D6" i="1"/>
  <c r="C6" i="1"/>
  <c r="B6" i="1"/>
  <c r="R5" i="1"/>
  <c r="Q5" i="1"/>
  <c r="P5" i="1"/>
  <c r="O5" i="1"/>
  <c r="N5" i="1"/>
  <c r="M5" i="1"/>
  <c r="L5" i="1"/>
  <c r="K5" i="1"/>
  <c r="J5" i="1"/>
  <c r="I5" i="1"/>
  <c r="H5" i="1"/>
  <c r="G5" i="1"/>
  <c r="F5" i="1"/>
  <c r="E5" i="1"/>
  <c r="D5" i="1"/>
  <c r="C5" i="1"/>
  <c r="B5" i="1"/>
  <c r="R4" i="1"/>
  <c r="Q4" i="1"/>
  <c r="P4" i="1"/>
  <c r="O4" i="1"/>
  <c r="N4" i="1"/>
  <c r="M4" i="1"/>
  <c r="L4" i="1"/>
  <c r="K4" i="1"/>
  <c r="J4" i="1"/>
  <c r="I4" i="1"/>
  <c r="H4" i="1"/>
  <c r="G4" i="1"/>
  <c r="F4" i="1"/>
  <c r="E4" i="1"/>
  <c r="D4" i="1"/>
  <c r="C4" i="1"/>
  <c r="B4" i="1"/>
  <c r="R3" i="1"/>
  <c r="Q3" i="1"/>
  <c r="P3" i="1"/>
  <c r="O3" i="1"/>
  <c r="N3" i="1"/>
  <c r="M3" i="1"/>
  <c r="L3" i="1"/>
  <c r="K3" i="1"/>
  <c r="J3" i="1"/>
  <c r="I3" i="1"/>
  <c r="H3" i="1"/>
  <c r="G3" i="1"/>
  <c r="F3" i="1"/>
  <c r="E3" i="1"/>
  <c r="D3" i="1"/>
  <c r="C3" i="1"/>
  <c r="B3" i="1"/>
  <c r="R2" i="1"/>
  <c r="Q2" i="1"/>
  <c r="P2" i="1"/>
  <c r="O2" i="1"/>
  <c r="N2" i="1"/>
  <c r="M2" i="1"/>
  <c r="L2" i="1"/>
  <c r="K2" i="1"/>
  <c r="J2" i="1"/>
  <c r="I2" i="1"/>
  <c r="H2" i="1"/>
  <c r="G2" i="1"/>
  <c r="F2" i="1"/>
  <c r="E2" i="1"/>
  <c r="D2" i="1"/>
  <c r="C2" i="1"/>
  <c r="B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5">
    <bk>
      <extLst>
        <ext uri="{3e2802c4-a4d2-4d8b-9148-e3be6c30e623}">
          <xlrd:rvb i="0"/>
        </ext>
      </extLst>
    </bk>
    <bk>
      <extLst>
        <ext uri="{3e2802c4-a4d2-4d8b-9148-e3be6c30e623}">
          <xlrd:rvb i="105"/>
        </ext>
      </extLst>
    </bk>
    <bk>
      <extLst>
        <ext uri="{3e2802c4-a4d2-4d8b-9148-e3be6c30e623}">
          <xlrd:rvb i="179"/>
        </ext>
      </extLst>
    </bk>
    <bk>
      <extLst>
        <ext uri="{3e2802c4-a4d2-4d8b-9148-e3be6c30e623}">
          <xlrd:rvb i="239"/>
        </ext>
      </extLst>
    </bk>
    <bk>
      <extLst>
        <ext uri="{3e2802c4-a4d2-4d8b-9148-e3be6c30e623}">
          <xlrd:rvb i="289"/>
        </ext>
      </extLst>
    </bk>
    <bk>
      <extLst>
        <ext uri="{3e2802c4-a4d2-4d8b-9148-e3be6c30e623}">
          <xlrd:rvb i="349"/>
        </ext>
      </extLst>
    </bk>
    <bk>
      <extLst>
        <ext uri="{3e2802c4-a4d2-4d8b-9148-e3be6c30e623}">
          <xlrd:rvb i="411"/>
        </ext>
      </extLst>
    </bk>
    <bk>
      <extLst>
        <ext uri="{3e2802c4-a4d2-4d8b-9148-e3be6c30e623}">
          <xlrd:rvb i="479"/>
        </ext>
      </extLst>
    </bk>
    <bk>
      <extLst>
        <ext uri="{3e2802c4-a4d2-4d8b-9148-e3be6c30e623}">
          <xlrd:rvb i="529"/>
        </ext>
      </extLst>
    </bk>
    <bk>
      <extLst>
        <ext uri="{3e2802c4-a4d2-4d8b-9148-e3be6c30e623}">
          <xlrd:rvb i="591"/>
        </ext>
      </extLst>
    </bk>
    <bk>
      <extLst>
        <ext uri="{3e2802c4-a4d2-4d8b-9148-e3be6c30e623}">
          <xlrd:rvb i="643"/>
        </ext>
      </extLst>
    </bk>
    <bk>
      <extLst>
        <ext uri="{3e2802c4-a4d2-4d8b-9148-e3be6c30e623}">
          <xlrd:rvb i="707"/>
        </ext>
      </extLst>
    </bk>
    <bk>
      <extLst>
        <ext uri="{3e2802c4-a4d2-4d8b-9148-e3be6c30e623}">
          <xlrd:rvb i="771"/>
        </ext>
      </extLst>
    </bk>
    <bk>
      <extLst>
        <ext uri="{3e2802c4-a4d2-4d8b-9148-e3be6c30e623}">
          <xlrd:rvb i="829"/>
        </ext>
      </extLst>
    </bk>
    <bk>
      <extLst>
        <ext uri="{3e2802c4-a4d2-4d8b-9148-e3be6c30e623}">
          <xlrd:rvb i="877"/>
        </ext>
      </extLst>
    </bk>
    <bk>
      <extLst>
        <ext uri="{3e2802c4-a4d2-4d8b-9148-e3be6c30e623}">
          <xlrd:rvb i="922"/>
        </ext>
      </extLst>
    </bk>
    <bk>
      <extLst>
        <ext uri="{3e2802c4-a4d2-4d8b-9148-e3be6c30e623}">
          <xlrd:rvb i="978"/>
        </ext>
      </extLst>
    </bk>
    <bk>
      <extLst>
        <ext uri="{3e2802c4-a4d2-4d8b-9148-e3be6c30e623}">
          <xlrd:rvb i="1061"/>
        </ext>
      </extLst>
    </bk>
    <bk>
      <extLst>
        <ext uri="{3e2802c4-a4d2-4d8b-9148-e3be6c30e623}">
          <xlrd:rvb i="1141"/>
        </ext>
      </extLst>
    </bk>
    <bk>
      <extLst>
        <ext uri="{3e2802c4-a4d2-4d8b-9148-e3be6c30e623}">
          <xlrd:rvb i="1227"/>
        </ext>
      </extLst>
    </bk>
    <bk>
      <extLst>
        <ext uri="{3e2802c4-a4d2-4d8b-9148-e3be6c30e623}">
          <xlrd:rvb i="1286"/>
        </ext>
      </extLst>
    </bk>
    <bk>
      <extLst>
        <ext uri="{3e2802c4-a4d2-4d8b-9148-e3be6c30e623}">
          <xlrd:rvb i="1323"/>
        </ext>
      </extLst>
    </bk>
    <bk>
      <extLst>
        <ext uri="{3e2802c4-a4d2-4d8b-9148-e3be6c30e623}">
          <xlrd:rvb i="1441"/>
        </ext>
      </extLst>
    </bk>
    <bk>
      <extLst>
        <ext uri="{3e2802c4-a4d2-4d8b-9148-e3be6c30e623}">
          <xlrd:rvb i="1495"/>
        </ext>
      </extLst>
    </bk>
    <bk>
      <extLst>
        <ext uri="{3e2802c4-a4d2-4d8b-9148-e3be6c30e623}">
          <xlrd:rvb i="1552"/>
        </ext>
      </extLst>
    </bk>
  </future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<sst xmlns="http://schemas.openxmlformats.org/spreadsheetml/2006/main" count="18" uniqueCount="18">
  <si>
    <t>Country</t>
  </si>
  <si>
    <t>NBD-SLAGDCH-Base SKU</t>
  </si>
  <si>
    <t>NBD-GDC-OIR SKU</t>
  </si>
  <si>
    <t>GDC Expansion Rack (Compute)</t>
  </si>
  <si>
    <t>GDC Expansion Rack (FileBlock Storage)</t>
  </si>
  <si>
    <t>GDC Expansion Rack (Object)</t>
  </si>
  <si>
    <t>Block - Std</t>
  </si>
  <si>
    <t>Block -HM</t>
  </si>
  <si>
    <t>Block-H100</t>
  </si>
  <si>
    <t>Block-H200</t>
  </si>
  <si>
    <t>Block-A100</t>
  </si>
  <si>
    <t>Block-A250</t>
  </si>
  <si>
    <t>Block-A400</t>
  </si>
  <si>
    <t>Block-A90 (24)</t>
  </si>
  <si>
    <t>Block-A90 (48)</t>
  </si>
  <si>
    <t>Block-Obj</t>
  </si>
  <si>
    <t>Block-Obj (SG6160)</t>
  </si>
  <si>
    <t>GDC Appliance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</si>
</sst>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 x14ac:knownFonts="1">
    <font>
      <sz val="11"/>
      <color theme="1"/>
      <name val="Aptos Narrow"/>
      <family val="2"/>
      <scheme val="minor"/>
    </font>
    <font>
      <sz val="11"/>
      <color theme="1"/>
      <name val="Aptos Narrow"/>
      <family val="2"/>
      <scheme val="minor"/>
    </font>
    <font>
      <sz val="11"/>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164" fontId="0" fillId="2" borderId="0" xfId="1" applyNumberFormat="1" applyFont="1" applyFill="1" applyAlignment="1">
      <alignment horizontal="center" vertical="center"/>
    </xf>
    <xf numFmtId="164" fontId="0" fillId="3" borderId="0" xfId="1" applyNumberFormat="1" applyFont="1" applyFill="1" applyAlignment="1">
      <alignment horizontal="center" vertical="center"/>
    </xf>
    <xf numFmtId="164" fontId="0" fillId="4" borderId="0" xfId="1" applyNumberFormat="1" applyFont="1" applyFill="1" applyAlignment="1">
      <alignment horizontal="center" vertical="center"/>
    </xf>
    <xf numFmtId="0" fontId="0" fillId="5" borderId="0" xfId="0" applyFill="1"/>
    <xf numFmtId="164" fontId="0" fillId="5" borderId="0" xfId="1" applyNumberFormat="1" applyFont="1" applyFill="1" applyAlignment="1">
      <alignment horizontal="center" vertical="center"/>
    </xf>
    <xf numFmtId="164" fontId="0" fillId="6" borderId="0" xfId="1" applyNumberFormat="1" applyFont="1" applyFill="1" applyAlignment="1">
      <alignment horizontal="center" vertical="center"/>
    </xf>
  </cellXfs>
  <cellStyles count="2">
    <cellStyle name="Currency" xfId="1" builtinId="4"/>
    <cellStyle name="Normal" xfId="0" builtinId="0"/>
  </cellStyles>
  <dxfs count="19">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DEDED"/>
        </patternFill>
      </fill>
      <alignment horizontal="center" vertical="center" textRotation="0" wrapText="0" indent="0" justifyLastLine="0" shrinkToFit="0" readingOrder="0"/>
    </dxf>
    <dxf>
      <fill>
        <patternFill patternType="solid">
          <fgColor indexed="64"/>
          <bgColor theme="6"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Tools\Work%20Order%20Docs\Master%203%20-%20WWT%20Price%20for%20PPT%20GDC%20Day%202%20(1-8-25)-Support%20Price%20List-Master3.xlsx" TargetMode="External"/><Relationship Id="rId1" Type="http://schemas.openxmlformats.org/officeDocument/2006/relationships/externalLinkPath" Target="Master%203%20-%20WWT%20Price%20for%20PPT%20GDC%20Day%202%20(1-8-25)-Support%20Price%20List-Master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PPT Cost Summary"/>
      <sheetName val="Price to Google"/>
      <sheetName val="United States"/>
      <sheetName val="Brazil"/>
      <sheetName val="Canada"/>
      <sheetName val="Belgium"/>
      <sheetName val="Germany"/>
      <sheetName val="Finland"/>
      <sheetName val="France"/>
      <sheetName val="Israel"/>
      <sheetName val="Italy"/>
      <sheetName val="Luxembourg"/>
      <sheetName val="Spain"/>
      <sheetName val="Sweden"/>
      <sheetName val="Netherlands"/>
      <sheetName val="UAE"/>
      <sheetName val="UK"/>
      <sheetName val="Poland"/>
      <sheetName val="Norway"/>
      <sheetName val="Australia"/>
      <sheetName val="India"/>
      <sheetName val="Indonesia"/>
      <sheetName val="Japan"/>
      <sheetName val="Malaysia"/>
      <sheetName val="Singapore"/>
      <sheetName val="Thailand"/>
      <sheetName val="Philippines"/>
    </sheetNames>
    <sheetDataSet>
      <sheetData sheetId="0"/>
      <sheetData sheetId="1"/>
      <sheetData sheetId="2"/>
      <sheetData sheetId="3">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12.375</v>
          </cell>
        </row>
        <row r="25">
          <cell r="J25">
            <v>1.5825</v>
          </cell>
        </row>
        <row r="26">
          <cell r="J26">
            <v>0</v>
          </cell>
        </row>
        <row r="27">
          <cell r="J27">
            <v>12.99</v>
          </cell>
        </row>
        <row r="28">
          <cell r="J28">
            <v>0</v>
          </cell>
        </row>
        <row r="29">
          <cell r="J29">
            <v>0</v>
          </cell>
        </row>
        <row r="30">
          <cell r="J30">
            <v>4.1924999999999999</v>
          </cell>
        </row>
        <row r="31">
          <cell r="J31">
            <v>0</v>
          </cell>
        </row>
        <row r="32">
          <cell r="J32">
            <v>4.125</v>
          </cell>
        </row>
        <row r="33">
          <cell r="J33">
            <v>0</v>
          </cell>
        </row>
        <row r="34">
          <cell r="J34">
            <v>1.5825</v>
          </cell>
        </row>
        <row r="35">
          <cell r="J35">
            <v>0</v>
          </cell>
        </row>
        <row r="36">
          <cell r="J36">
            <v>8.3849999999999998</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4.125</v>
          </cell>
        </row>
        <row r="48">
          <cell r="J48">
            <v>0</v>
          </cell>
        </row>
        <row r="49">
          <cell r="J49">
            <v>1.5825</v>
          </cell>
        </row>
        <row r="50">
          <cell r="J50">
            <v>0</v>
          </cell>
        </row>
        <row r="51">
          <cell r="J51">
            <v>0</v>
          </cell>
        </row>
        <row r="52">
          <cell r="J52">
            <v>4.1924999999999999</v>
          </cell>
        </row>
        <row r="53">
          <cell r="J53">
            <v>0</v>
          </cell>
        </row>
        <row r="54">
          <cell r="J54">
            <v>4.125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4">
        <row r="2">
          <cell r="J2">
            <v>7.92</v>
          </cell>
        </row>
        <row r="3">
          <cell r="J3">
            <v>21.12</v>
          </cell>
        </row>
        <row r="4">
          <cell r="J4">
            <v>7.92</v>
          </cell>
        </row>
        <row r="5">
          <cell r="J5">
            <v>5.28</v>
          </cell>
        </row>
        <row r="6">
          <cell r="J6">
            <v>5.28</v>
          </cell>
        </row>
        <row r="7">
          <cell r="J7">
            <v>5.28</v>
          </cell>
        </row>
        <row r="8">
          <cell r="J8">
            <v>80.97</v>
          </cell>
        </row>
        <row r="9">
          <cell r="J9">
            <v>43.38</v>
          </cell>
        </row>
        <row r="10">
          <cell r="J10">
            <v>122.07</v>
          </cell>
        </row>
        <row r="11">
          <cell r="J11">
            <v>182.27250000000004</v>
          </cell>
        </row>
        <row r="12">
          <cell r="J12">
            <v>0</v>
          </cell>
        </row>
        <row r="16">
          <cell r="J16">
            <v>0</v>
          </cell>
        </row>
        <row r="20">
          <cell r="J20">
            <v>21.015000000000001</v>
          </cell>
        </row>
        <row r="21">
          <cell r="J21">
            <v>0</v>
          </cell>
        </row>
        <row r="22">
          <cell r="J22">
            <v>0</v>
          </cell>
        </row>
        <row r="23">
          <cell r="J23">
            <v>0</v>
          </cell>
        </row>
        <row r="24">
          <cell r="J24">
            <v>20.655000000000001</v>
          </cell>
        </row>
        <row r="25">
          <cell r="J25">
            <v>2.64</v>
          </cell>
        </row>
        <row r="26">
          <cell r="J26">
            <v>5.28</v>
          </cell>
        </row>
        <row r="27">
          <cell r="J27">
            <v>21.69</v>
          </cell>
        </row>
        <row r="28">
          <cell r="J28">
            <v>0</v>
          </cell>
        </row>
        <row r="29">
          <cell r="J29">
            <v>0</v>
          </cell>
        </row>
        <row r="30">
          <cell r="J30">
            <v>7.0049999999999999</v>
          </cell>
        </row>
        <row r="31">
          <cell r="J31">
            <v>0</v>
          </cell>
        </row>
        <row r="32">
          <cell r="J32">
            <v>3.4424999999999999</v>
          </cell>
        </row>
        <row r="33">
          <cell r="J33">
            <v>0</v>
          </cell>
        </row>
        <row r="34">
          <cell r="J34">
            <v>2.64</v>
          </cell>
        </row>
        <row r="35">
          <cell r="J35">
            <v>5.28</v>
          </cell>
        </row>
        <row r="36">
          <cell r="J36">
            <v>14.01</v>
          </cell>
        </row>
        <row r="37">
          <cell r="J37">
            <v>7.0049999999999999</v>
          </cell>
        </row>
        <row r="38">
          <cell r="J38">
            <v>0</v>
          </cell>
        </row>
        <row r="39">
          <cell r="J39">
            <v>6.8849999999999998</v>
          </cell>
        </row>
        <row r="40">
          <cell r="J40">
            <v>21.69</v>
          </cell>
        </row>
        <row r="41">
          <cell r="J41">
            <v>2.64</v>
          </cell>
        </row>
        <row r="42">
          <cell r="J42">
            <v>5.28</v>
          </cell>
        </row>
        <row r="43">
          <cell r="J43">
            <v>2.64</v>
          </cell>
        </row>
        <row r="44">
          <cell r="J44">
            <v>5.28</v>
          </cell>
        </row>
        <row r="45">
          <cell r="J45">
            <v>7.0049999999999999</v>
          </cell>
        </row>
        <row r="46">
          <cell r="J46">
            <v>0</v>
          </cell>
        </row>
        <row r="47">
          <cell r="J47">
            <v>3.4424999999999999</v>
          </cell>
        </row>
        <row r="48">
          <cell r="J48">
            <v>0</v>
          </cell>
        </row>
        <row r="49">
          <cell r="J49">
            <v>2.64</v>
          </cell>
        </row>
        <row r="50">
          <cell r="J50">
            <v>5.28</v>
          </cell>
        </row>
        <row r="51">
          <cell r="J51">
            <v>2.64</v>
          </cell>
        </row>
        <row r="52">
          <cell r="J52">
            <v>7.0049999999999999</v>
          </cell>
        </row>
        <row r="53">
          <cell r="J53">
            <v>0</v>
          </cell>
        </row>
        <row r="54">
          <cell r="J54">
            <v>3.4424999999999999</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5">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12.375</v>
          </cell>
        </row>
        <row r="25">
          <cell r="J25">
            <v>1.5825</v>
          </cell>
        </row>
        <row r="26">
          <cell r="J26">
            <v>0</v>
          </cell>
        </row>
        <row r="27">
          <cell r="J27">
            <v>12.99</v>
          </cell>
        </row>
        <row r="28">
          <cell r="J28">
            <v>0</v>
          </cell>
        </row>
        <row r="29">
          <cell r="J29">
            <v>0</v>
          </cell>
        </row>
        <row r="30">
          <cell r="J30">
            <v>4.1924999999999999</v>
          </cell>
        </row>
        <row r="31">
          <cell r="J31">
            <v>0</v>
          </cell>
        </row>
        <row r="32">
          <cell r="J32">
            <v>2.06</v>
          </cell>
        </row>
        <row r="33">
          <cell r="J33">
            <v>0</v>
          </cell>
        </row>
        <row r="34">
          <cell r="J34">
            <v>1.5825</v>
          </cell>
        </row>
        <row r="35">
          <cell r="J35">
            <v>0</v>
          </cell>
        </row>
        <row r="36">
          <cell r="J36">
            <v>8.3849999999999998</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6">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12.38</v>
          </cell>
        </row>
        <row r="25">
          <cell r="J25">
            <v>1.5825</v>
          </cell>
        </row>
        <row r="26">
          <cell r="J26">
            <v>0</v>
          </cell>
        </row>
        <row r="27">
          <cell r="J27">
            <v>12.99</v>
          </cell>
        </row>
        <row r="28">
          <cell r="J28">
            <v>0</v>
          </cell>
        </row>
        <row r="29">
          <cell r="J29">
            <v>0</v>
          </cell>
        </row>
        <row r="30">
          <cell r="J30">
            <v>4.1924999999999999</v>
          </cell>
        </row>
        <row r="31">
          <cell r="J31">
            <v>0</v>
          </cell>
        </row>
        <row r="32">
          <cell r="J32">
            <v>2.0625</v>
          </cell>
        </row>
        <row r="33">
          <cell r="J33">
            <v>0</v>
          </cell>
        </row>
        <row r="34">
          <cell r="J34">
            <v>1.5825</v>
          </cell>
        </row>
        <row r="35">
          <cell r="J35">
            <v>0</v>
          </cell>
        </row>
        <row r="36">
          <cell r="J36">
            <v>0</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7">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12.375</v>
          </cell>
        </row>
        <row r="25">
          <cell r="J25">
            <v>1.5825</v>
          </cell>
        </row>
        <row r="26">
          <cell r="J26">
            <v>0</v>
          </cell>
        </row>
        <row r="27">
          <cell r="J27">
            <v>12.99</v>
          </cell>
        </row>
        <row r="28">
          <cell r="J28">
            <v>0</v>
          </cell>
        </row>
        <row r="29">
          <cell r="J29">
            <v>0</v>
          </cell>
        </row>
        <row r="30">
          <cell r="J30">
            <v>4.1924999999999999</v>
          </cell>
        </row>
        <row r="31">
          <cell r="J31">
            <v>0</v>
          </cell>
        </row>
        <row r="32">
          <cell r="J32">
            <v>2.0625</v>
          </cell>
        </row>
        <row r="33">
          <cell r="J33">
            <v>0</v>
          </cell>
        </row>
        <row r="34">
          <cell r="J34">
            <v>1.5825</v>
          </cell>
        </row>
        <row r="35">
          <cell r="J35">
            <v>0</v>
          </cell>
        </row>
        <row r="36">
          <cell r="J36">
            <v>0</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8">
        <row r="2">
          <cell r="J2">
            <v>7.1325000000000003</v>
          </cell>
        </row>
        <row r="3">
          <cell r="J3">
            <v>0</v>
          </cell>
        </row>
        <row r="4">
          <cell r="J4">
            <v>0</v>
          </cell>
        </row>
        <row r="5">
          <cell r="J5">
            <v>0</v>
          </cell>
        </row>
        <row r="6">
          <cell r="J6">
            <v>0</v>
          </cell>
        </row>
        <row r="7">
          <cell r="J7">
            <v>0</v>
          </cell>
        </row>
        <row r="8">
          <cell r="J8">
            <v>72.72</v>
          </cell>
        </row>
        <row r="9">
          <cell r="J9">
            <v>38.97</v>
          </cell>
        </row>
        <row r="10">
          <cell r="J10">
            <v>109.64999999999999</v>
          </cell>
        </row>
        <row r="11">
          <cell r="J11">
            <v>163.73250000000002</v>
          </cell>
        </row>
        <row r="12">
          <cell r="J12">
            <v>0</v>
          </cell>
        </row>
        <row r="16">
          <cell r="J16">
            <v>0</v>
          </cell>
        </row>
        <row r="20">
          <cell r="J20">
            <v>18.877500000000001</v>
          </cell>
        </row>
        <row r="21">
          <cell r="J21">
            <v>0</v>
          </cell>
        </row>
        <row r="22">
          <cell r="J22">
            <v>0</v>
          </cell>
        </row>
        <row r="23">
          <cell r="J23">
            <v>0</v>
          </cell>
        </row>
        <row r="24">
          <cell r="J24">
            <v>18.585000000000001</v>
          </cell>
        </row>
        <row r="25">
          <cell r="J25">
            <v>2.3774999999999999</v>
          </cell>
        </row>
        <row r="26">
          <cell r="J26">
            <v>0</v>
          </cell>
        </row>
        <row r="27">
          <cell r="J27">
            <v>19.484999999999999</v>
          </cell>
        </row>
        <row r="28">
          <cell r="J28">
            <v>0</v>
          </cell>
        </row>
        <row r="29">
          <cell r="J29">
            <v>0</v>
          </cell>
        </row>
        <row r="30">
          <cell r="J30">
            <v>6.2925000000000004</v>
          </cell>
        </row>
        <row r="31">
          <cell r="J31">
            <v>0</v>
          </cell>
        </row>
        <row r="32">
          <cell r="J32">
            <v>3.0975000000000001</v>
          </cell>
        </row>
        <row r="33">
          <cell r="J33">
            <v>0</v>
          </cell>
        </row>
        <row r="34">
          <cell r="J34">
            <v>2.3774999999999999</v>
          </cell>
        </row>
        <row r="35">
          <cell r="J35">
            <v>0</v>
          </cell>
        </row>
        <row r="36">
          <cell r="J36">
            <v>0</v>
          </cell>
        </row>
        <row r="37">
          <cell r="J37">
            <v>6.2925000000000004</v>
          </cell>
        </row>
        <row r="38">
          <cell r="J38">
            <v>0</v>
          </cell>
        </row>
        <row r="39">
          <cell r="J39">
            <v>6.1950000000000003</v>
          </cell>
        </row>
        <row r="40">
          <cell r="J40">
            <v>19.484999999999999</v>
          </cell>
        </row>
        <row r="41">
          <cell r="J41">
            <v>2.3774999999999999</v>
          </cell>
        </row>
        <row r="42">
          <cell r="J42">
            <v>0</v>
          </cell>
        </row>
        <row r="43">
          <cell r="J43">
            <v>0</v>
          </cell>
        </row>
        <row r="44">
          <cell r="J44">
            <v>0</v>
          </cell>
        </row>
        <row r="45">
          <cell r="J45">
            <v>6.2925000000000004</v>
          </cell>
        </row>
        <row r="46">
          <cell r="J46">
            <v>0</v>
          </cell>
        </row>
        <row r="47">
          <cell r="J47">
            <v>3.0975000000000001</v>
          </cell>
        </row>
        <row r="48">
          <cell r="J48">
            <v>0</v>
          </cell>
        </row>
        <row r="49">
          <cell r="J49">
            <v>2.3774999999999999</v>
          </cell>
        </row>
        <row r="50">
          <cell r="J50">
            <v>0</v>
          </cell>
        </row>
        <row r="51">
          <cell r="J51">
            <v>0</v>
          </cell>
        </row>
        <row r="52">
          <cell r="J52">
            <v>6.2925000000000004</v>
          </cell>
        </row>
        <row r="53">
          <cell r="J53">
            <v>0</v>
          </cell>
        </row>
        <row r="54">
          <cell r="J54">
            <v>3.0975000000000001</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9">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12.38</v>
          </cell>
        </row>
        <row r="25">
          <cell r="J25">
            <v>1.5825</v>
          </cell>
        </row>
        <row r="26">
          <cell r="J26">
            <v>0</v>
          </cell>
        </row>
        <row r="27">
          <cell r="J27">
            <v>12.99</v>
          </cell>
        </row>
        <row r="28">
          <cell r="J28">
            <v>0</v>
          </cell>
        </row>
        <row r="29">
          <cell r="J29">
            <v>0</v>
          </cell>
        </row>
        <row r="30">
          <cell r="J30">
            <v>4.1924999999999999</v>
          </cell>
        </row>
        <row r="31">
          <cell r="J31">
            <v>0</v>
          </cell>
        </row>
        <row r="32">
          <cell r="J32">
            <v>2.0625</v>
          </cell>
        </row>
        <row r="33">
          <cell r="J33">
            <v>0</v>
          </cell>
        </row>
        <row r="34">
          <cell r="J34">
            <v>1.5825</v>
          </cell>
        </row>
        <row r="35">
          <cell r="J35">
            <v>0</v>
          </cell>
        </row>
        <row r="36">
          <cell r="J36">
            <v>0</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0">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1">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2">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3">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4">
        <row r="2">
          <cell r="J2">
            <v>7.1325000000000003</v>
          </cell>
        </row>
        <row r="3">
          <cell r="J3">
            <v>0</v>
          </cell>
        </row>
        <row r="4">
          <cell r="J4">
            <v>0</v>
          </cell>
        </row>
        <row r="5">
          <cell r="J5">
            <v>0</v>
          </cell>
        </row>
        <row r="6">
          <cell r="J6">
            <v>0</v>
          </cell>
        </row>
        <row r="7">
          <cell r="J7">
            <v>0</v>
          </cell>
        </row>
        <row r="8">
          <cell r="J8">
            <v>72.72</v>
          </cell>
        </row>
        <row r="9">
          <cell r="J9">
            <v>38.97</v>
          </cell>
        </row>
        <row r="10">
          <cell r="J10">
            <v>109.64999999999999</v>
          </cell>
        </row>
        <row r="11">
          <cell r="J11">
            <v>163.73250000000002</v>
          </cell>
        </row>
        <row r="12">
          <cell r="J12">
            <v>0</v>
          </cell>
        </row>
        <row r="16">
          <cell r="J16">
            <v>0</v>
          </cell>
        </row>
        <row r="20">
          <cell r="J20">
            <v>18.877500000000001</v>
          </cell>
        </row>
        <row r="21">
          <cell r="J21">
            <v>0</v>
          </cell>
        </row>
        <row r="22">
          <cell r="J22">
            <v>0</v>
          </cell>
        </row>
        <row r="23">
          <cell r="J23">
            <v>0</v>
          </cell>
        </row>
        <row r="24">
          <cell r="J24">
            <v>18.585000000000001</v>
          </cell>
        </row>
        <row r="25">
          <cell r="J25">
            <v>2.3774999999999999</v>
          </cell>
        </row>
        <row r="26">
          <cell r="J26">
            <v>0</v>
          </cell>
        </row>
        <row r="27">
          <cell r="J27">
            <v>19.484999999999999</v>
          </cell>
        </row>
        <row r="28">
          <cell r="J28">
            <v>0</v>
          </cell>
        </row>
        <row r="29">
          <cell r="J29">
            <v>0</v>
          </cell>
        </row>
        <row r="30">
          <cell r="J30">
            <v>6.2925000000000004</v>
          </cell>
        </row>
        <row r="31">
          <cell r="J31">
            <v>0</v>
          </cell>
        </row>
        <row r="32">
          <cell r="J32">
            <v>3.0975000000000001</v>
          </cell>
        </row>
        <row r="33">
          <cell r="J33">
            <v>0</v>
          </cell>
        </row>
        <row r="34">
          <cell r="J34">
            <v>2.3774999999999999</v>
          </cell>
        </row>
        <row r="35">
          <cell r="J35">
            <v>0</v>
          </cell>
        </row>
        <row r="36">
          <cell r="J36">
            <v>0</v>
          </cell>
        </row>
        <row r="37">
          <cell r="J37">
            <v>6.2925000000000004</v>
          </cell>
        </row>
        <row r="38">
          <cell r="J38">
            <v>0</v>
          </cell>
        </row>
        <row r="39">
          <cell r="J39">
            <v>6.1950000000000003</v>
          </cell>
        </row>
        <row r="40">
          <cell r="J40">
            <v>19.484999999999999</v>
          </cell>
        </row>
        <row r="41">
          <cell r="J41">
            <v>2.3774999999999999</v>
          </cell>
        </row>
        <row r="42">
          <cell r="J42">
            <v>0</v>
          </cell>
        </row>
        <row r="43">
          <cell r="J43">
            <v>0</v>
          </cell>
        </row>
        <row r="44">
          <cell r="J44">
            <v>0</v>
          </cell>
        </row>
        <row r="45">
          <cell r="J45">
            <v>6.2925000000000004</v>
          </cell>
        </row>
        <row r="46">
          <cell r="J46">
            <v>0</v>
          </cell>
        </row>
        <row r="47">
          <cell r="J47">
            <v>3.0975000000000001</v>
          </cell>
        </row>
        <row r="48">
          <cell r="J48">
            <v>0</v>
          </cell>
        </row>
        <row r="49">
          <cell r="J49">
            <v>2.3774999999999999</v>
          </cell>
        </row>
        <row r="50">
          <cell r="J50">
            <v>0</v>
          </cell>
        </row>
        <row r="51">
          <cell r="J51">
            <v>0</v>
          </cell>
        </row>
        <row r="52">
          <cell r="J52">
            <v>6.2925000000000004</v>
          </cell>
        </row>
        <row r="53">
          <cell r="J53">
            <v>0</v>
          </cell>
        </row>
        <row r="54">
          <cell r="J54">
            <v>3.0975000000000001</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5">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12.38</v>
          </cell>
        </row>
        <row r="25">
          <cell r="J25">
            <v>1.5825</v>
          </cell>
        </row>
        <row r="26">
          <cell r="J26">
            <v>0</v>
          </cell>
        </row>
        <row r="27">
          <cell r="J27">
            <v>12.99</v>
          </cell>
        </row>
        <row r="28">
          <cell r="J28">
            <v>0</v>
          </cell>
        </row>
        <row r="29">
          <cell r="J29">
            <v>0</v>
          </cell>
        </row>
        <row r="30">
          <cell r="J30">
            <v>4.1924999999999999</v>
          </cell>
        </row>
        <row r="31">
          <cell r="J31">
            <v>0</v>
          </cell>
        </row>
        <row r="32">
          <cell r="J32">
            <v>2.0625</v>
          </cell>
        </row>
        <row r="33">
          <cell r="J33">
            <v>0</v>
          </cell>
        </row>
        <row r="34">
          <cell r="J34">
            <v>1.5825</v>
          </cell>
        </row>
        <row r="35">
          <cell r="J35">
            <v>0</v>
          </cell>
        </row>
        <row r="36">
          <cell r="J36">
            <v>0</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6">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7">
        <row r="2">
          <cell r="J2">
            <v>4.7475000000000005</v>
          </cell>
        </row>
        <row r="3">
          <cell r="J3">
            <v>0</v>
          </cell>
        </row>
        <row r="4">
          <cell r="J4">
            <v>0</v>
          </cell>
        </row>
        <row r="5">
          <cell r="J5">
            <v>0</v>
          </cell>
        </row>
        <row r="6">
          <cell r="J6">
            <v>0</v>
          </cell>
        </row>
        <row r="7">
          <cell r="J7">
            <v>0</v>
          </cell>
        </row>
        <row r="8">
          <cell r="J8">
            <v>48.480000000000004</v>
          </cell>
        </row>
        <row r="9">
          <cell r="J9">
            <v>25.98</v>
          </cell>
        </row>
        <row r="10">
          <cell r="J10">
            <v>73.094999999999999</v>
          </cell>
        </row>
        <row r="11">
          <cell r="J11">
            <v>109.14750000000001</v>
          </cell>
        </row>
        <row r="12">
          <cell r="J12">
            <v>0</v>
          </cell>
        </row>
        <row r="16">
          <cell r="J16">
            <v>0</v>
          </cell>
        </row>
        <row r="20">
          <cell r="J20">
            <v>12.577500000000001</v>
          </cell>
        </row>
        <row r="21">
          <cell r="J21">
            <v>0</v>
          </cell>
        </row>
        <row r="22">
          <cell r="J22">
            <v>0</v>
          </cell>
        </row>
        <row r="23">
          <cell r="J23">
            <v>0</v>
          </cell>
        </row>
        <row r="24">
          <cell r="J24">
            <v>12.38</v>
          </cell>
        </row>
        <row r="25">
          <cell r="J25">
            <v>1.5825</v>
          </cell>
        </row>
        <row r="26">
          <cell r="J26">
            <v>0</v>
          </cell>
        </row>
        <row r="27">
          <cell r="J27">
            <v>12.99</v>
          </cell>
        </row>
        <row r="28">
          <cell r="J28">
            <v>0</v>
          </cell>
        </row>
        <row r="29">
          <cell r="J29">
            <v>0</v>
          </cell>
        </row>
        <row r="30">
          <cell r="J30">
            <v>4.1924999999999999</v>
          </cell>
        </row>
        <row r="31">
          <cell r="J31">
            <v>0</v>
          </cell>
        </row>
        <row r="32">
          <cell r="J32">
            <v>2.0625</v>
          </cell>
        </row>
        <row r="33">
          <cell r="J33">
            <v>0</v>
          </cell>
        </row>
        <row r="34">
          <cell r="J34">
            <v>1.5825</v>
          </cell>
        </row>
        <row r="35">
          <cell r="J35">
            <v>0</v>
          </cell>
        </row>
        <row r="36">
          <cell r="J36">
            <v>0</v>
          </cell>
        </row>
        <row r="37">
          <cell r="J37">
            <v>4.1924999999999999</v>
          </cell>
        </row>
        <row r="38">
          <cell r="J38">
            <v>0</v>
          </cell>
        </row>
        <row r="39">
          <cell r="J39">
            <v>4.125</v>
          </cell>
        </row>
        <row r="40">
          <cell r="J40">
            <v>12.99</v>
          </cell>
        </row>
        <row r="41">
          <cell r="J41">
            <v>1.5825</v>
          </cell>
        </row>
        <row r="42">
          <cell r="J42">
            <v>0</v>
          </cell>
        </row>
        <row r="43">
          <cell r="J43">
            <v>0</v>
          </cell>
        </row>
        <row r="44">
          <cell r="J44">
            <v>0</v>
          </cell>
        </row>
        <row r="45">
          <cell r="J45">
            <v>4.1924999999999999</v>
          </cell>
        </row>
        <row r="46">
          <cell r="J46">
            <v>0</v>
          </cell>
        </row>
        <row r="47">
          <cell r="J47">
            <v>2.0625</v>
          </cell>
        </row>
        <row r="48">
          <cell r="J48">
            <v>0</v>
          </cell>
        </row>
        <row r="49">
          <cell r="J49">
            <v>1.5825</v>
          </cell>
        </row>
        <row r="50">
          <cell r="J50">
            <v>0</v>
          </cell>
        </row>
        <row r="51">
          <cell r="J51">
            <v>0</v>
          </cell>
        </row>
        <row r="52">
          <cell r="J52">
            <v>4.1924999999999999</v>
          </cell>
        </row>
        <row r="53">
          <cell r="J53">
            <v>0</v>
          </cell>
        </row>
        <row r="54">
          <cell r="J54">
            <v>2.0625</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18">
        <row r="2">
          <cell r="I2">
            <v>5.94</v>
          </cell>
        </row>
        <row r="3">
          <cell r="I3" t="str">
            <v>OEM</v>
          </cell>
        </row>
        <row r="4">
          <cell r="I4" t="str">
            <v>OEM</v>
          </cell>
        </row>
        <row r="5">
          <cell r="I5" t="str">
            <v>OEM</v>
          </cell>
        </row>
        <row r="6">
          <cell r="I6" t="str">
            <v>OEM</v>
          </cell>
        </row>
        <row r="7">
          <cell r="I7" t="str">
            <v>OEM</v>
          </cell>
        </row>
        <row r="8">
          <cell r="I8">
            <v>60.6</v>
          </cell>
        </row>
        <row r="9">
          <cell r="I9">
            <v>16.260000000000002</v>
          </cell>
        </row>
        <row r="10">
          <cell r="I10">
            <v>91.38</v>
          </cell>
        </row>
        <row r="11">
          <cell r="I11">
            <v>272.88</v>
          </cell>
        </row>
        <row r="12">
          <cell r="I12" t="str">
            <v>OEM</v>
          </cell>
        </row>
        <row r="13">
          <cell r="I13" t="str">
            <v>OEM</v>
          </cell>
        </row>
        <row r="14">
          <cell r="I14" t="str">
            <v>OEM</v>
          </cell>
        </row>
        <row r="15">
          <cell r="I15" t="str">
            <v>OEM</v>
          </cell>
        </row>
        <row r="16">
          <cell r="I16" t="str">
            <v>OEM</v>
          </cell>
        </row>
        <row r="17">
          <cell r="I17" t="str">
            <v>OEM</v>
          </cell>
        </row>
        <row r="18">
          <cell r="I18" t="str">
            <v>OEM</v>
          </cell>
        </row>
        <row r="19">
          <cell r="I19" t="str">
            <v>OEM</v>
          </cell>
        </row>
        <row r="20">
          <cell r="I20">
            <v>15.72</v>
          </cell>
        </row>
        <row r="21">
          <cell r="I21" t="str">
            <v>OEM</v>
          </cell>
        </row>
        <row r="22">
          <cell r="I22" t="str">
            <v>OEM</v>
          </cell>
        </row>
        <row r="23">
          <cell r="I23" t="str">
            <v>OEM</v>
          </cell>
        </row>
        <row r="24">
          <cell r="I24">
            <v>7.74</v>
          </cell>
        </row>
        <row r="25">
          <cell r="I25">
            <v>7.74</v>
          </cell>
        </row>
        <row r="26">
          <cell r="I26">
            <v>1.98</v>
          </cell>
        </row>
        <row r="27">
          <cell r="I27" t="str">
            <v>OEM</v>
          </cell>
        </row>
        <row r="28">
          <cell r="I28">
            <v>16.260000000000002</v>
          </cell>
        </row>
        <row r="29">
          <cell r="I29" t="str">
            <v>OEM</v>
          </cell>
        </row>
        <row r="30">
          <cell r="I30">
            <v>5.24</v>
          </cell>
        </row>
        <row r="31">
          <cell r="I31">
            <v>2.58</v>
          </cell>
        </row>
        <row r="32">
          <cell r="I32">
            <v>2.58</v>
          </cell>
        </row>
        <row r="45">
          <cell r="I45">
            <v>1.98</v>
          </cell>
        </row>
        <row r="46">
          <cell r="I46" t="str">
            <v>OEM</v>
          </cell>
        </row>
        <row r="47">
          <cell r="I47" t="str">
            <v>OEM</v>
          </cell>
        </row>
        <row r="48">
          <cell r="I48">
            <v>5.24</v>
          </cell>
        </row>
        <row r="49">
          <cell r="I49">
            <v>2.58</v>
          </cell>
        </row>
        <row r="50">
          <cell r="I50">
            <v>2.58</v>
          </cell>
        </row>
        <row r="62">
          <cell r="I62">
            <v>1.98</v>
          </cell>
        </row>
        <row r="63">
          <cell r="I63" t="str">
            <v>OEM</v>
          </cell>
        </row>
        <row r="64">
          <cell r="I64" t="str">
            <v>OEM</v>
          </cell>
        </row>
        <row r="65">
          <cell r="I65" t="str">
            <v>OEM</v>
          </cell>
        </row>
        <row r="66">
          <cell r="I66">
            <v>5.24</v>
          </cell>
        </row>
        <row r="67">
          <cell r="I67">
            <v>2.58</v>
          </cell>
        </row>
        <row r="68">
          <cell r="I68">
            <v>2.58</v>
          </cell>
        </row>
        <row r="69">
          <cell r="I69">
            <v>1.98</v>
          </cell>
        </row>
        <row r="70">
          <cell r="I70" t="str">
            <v>OEM</v>
          </cell>
        </row>
        <row r="71">
          <cell r="I71" t="str">
            <v>OEM</v>
          </cell>
        </row>
        <row r="72">
          <cell r="I72">
            <v>5.24</v>
          </cell>
        </row>
        <row r="73">
          <cell r="I73">
            <v>2.58</v>
          </cell>
        </row>
        <row r="74">
          <cell r="I74">
            <v>2.58</v>
          </cell>
        </row>
        <row r="75">
          <cell r="I75" t="str">
            <v>OEM</v>
          </cell>
        </row>
        <row r="76">
          <cell r="I76" t="str">
            <v>OEM</v>
          </cell>
        </row>
        <row r="77">
          <cell r="I77" t="str">
            <v>OEM</v>
          </cell>
        </row>
        <row r="78">
          <cell r="I78" t="str">
            <v>OEM</v>
          </cell>
        </row>
        <row r="79">
          <cell r="I79" t="str">
            <v>OEM</v>
          </cell>
        </row>
        <row r="80">
          <cell r="I80" t="str">
            <v>OEM</v>
          </cell>
        </row>
        <row r="81">
          <cell r="I81" t="str">
            <v>OEM</v>
          </cell>
        </row>
        <row r="82">
          <cell r="I82" t="str">
            <v>OEM</v>
          </cell>
        </row>
        <row r="83">
          <cell r="I83" t="str">
            <v>OEM</v>
          </cell>
        </row>
        <row r="84">
          <cell r="I84" t="str">
            <v>OEM</v>
          </cell>
        </row>
        <row r="85">
          <cell r="I85" t="str">
            <v>OEM</v>
          </cell>
        </row>
        <row r="86">
          <cell r="I86" t="str">
            <v>OEM</v>
          </cell>
        </row>
        <row r="87">
          <cell r="I87" t="str">
            <v>OEM</v>
          </cell>
        </row>
        <row r="88">
          <cell r="I88" t="str">
            <v>OEM</v>
          </cell>
        </row>
        <row r="89">
          <cell r="I89" t="str">
            <v>OEM</v>
          </cell>
        </row>
        <row r="90">
          <cell r="I90" t="str">
            <v>OEM</v>
          </cell>
        </row>
        <row r="91">
          <cell r="I91" t="str">
            <v>OEM</v>
          </cell>
        </row>
      </sheetData>
      <sheetData sheetId="19">
        <row r="2">
          <cell r="J2">
            <v>7.11</v>
          </cell>
        </row>
        <row r="3">
          <cell r="J3" t="str">
            <v>OEM</v>
          </cell>
        </row>
        <row r="4">
          <cell r="J4" t="str">
            <v>OEM</v>
          </cell>
        </row>
        <row r="5">
          <cell r="J5" t="str">
            <v>OEM</v>
          </cell>
        </row>
        <row r="6">
          <cell r="J6" t="str">
            <v>OEM</v>
          </cell>
        </row>
        <row r="7">
          <cell r="J7" t="str">
            <v>OEM</v>
          </cell>
        </row>
        <row r="8">
          <cell r="J8">
            <v>72.72</v>
          </cell>
        </row>
        <row r="9">
          <cell r="J9">
            <v>19.5</v>
          </cell>
        </row>
        <row r="10">
          <cell r="J10">
            <v>109.66</v>
          </cell>
        </row>
        <row r="11">
          <cell r="J11">
            <v>327.42</v>
          </cell>
        </row>
        <row r="12">
          <cell r="J12" t="str">
            <v>OEM</v>
          </cell>
        </row>
        <row r="13">
          <cell r="J13" t="str">
            <v>OEM</v>
          </cell>
        </row>
        <row r="14">
          <cell r="J14" t="str">
            <v>OEM</v>
          </cell>
        </row>
        <row r="15">
          <cell r="J15" t="str">
            <v>OEM</v>
          </cell>
        </row>
        <row r="16">
          <cell r="J16" t="str">
            <v>OEM</v>
          </cell>
        </row>
        <row r="17">
          <cell r="J17" t="str">
            <v>OEM</v>
          </cell>
        </row>
        <row r="18">
          <cell r="J18" t="str">
            <v>OEM</v>
          </cell>
        </row>
        <row r="19">
          <cell r="J19" t="str">
            <v>OEM</v>
          </cell>
        </row>
        <row r="20">
          <cell r="J20">
            <v>18.87</v>
          </cell>
        </row>
        <row r="21">
          <cell r="J21" t="str">
            <v>OEM</v>
          </cell>
        </row>
        <row r="22">
          <cell r="J22" t="str">
            <v>OEM</v>
          </cell>
        </row>
        <row r="23">
          <cell r="J23" t="str">
            <v>OEM</v>
          </cell>
        </row>
        <row r="24">
          <cell r="J24">
            <v>9.27</v>
          </cell>
        </row>
        <row r="25">
          <cell r="J25">
            <v>9.27</v>
          </cell>
        </row>
        <row r="26">
          <cell r="J26">
            <v>2.37</v>
          </cell>
        </row>
        <row r="27">
          <cell r="J27" t="str">
            <v>OEM</v>
          </cell>
        </row>
        <row r="28">
          <cell r="J28">
            <v>19.5</v>
          </cell>
        </row>
        <row r="29">
          <cell r="J29" t="str">
            <v>OEM</v>
          </cell>
        </row>
        <row r="30">
          <cell r="J30">
            <v>6.29</v>
          </cell>
        </row>
        <row r="31">
          <cell r="J31">
            <v>3.09</v>
          </cell>
        </row>
        <row r="32">
          <cell r="J32">
            <v>3.09</v>
          </cell>
        </row>
        <row r="45">
          <cell r="J45">
            <v>2.37</v>
          </cell>
        </row>
        <row r="46">
          <cell r="J46" t="str">
            <v>OEM</v>
          </cell>
        </row>
        <row r="47">
          <cell r="J47" t="str">
            <v>OEM</v>
          </cell>
        </row>
        <row r="48">
          <cell r="J48">
            <v>6.29</v>
          </cell>
        </row>
        <row r="49">
          <cell r="J49">
            <v>3.09</v>
          </cell>
        </row>
        <row r="50">
          <cell r="J50">
            <v>3.09</v>
          </cell>
        </row>
        <row r="62">
          <cell r="J62">
            <v>2.37</v>
          </cell>
        </row>
        <row r="63">
          <cell r="J63" t="str">
            <v>OEM</v>
          </cell>
        </row>
        <row r="64">
          <cell r="J64" t="str">
            <v>OEM</v>
          </cell>
        </row>
        <row r="65">
          <cell r="J65" t="str">
            <v>OEM</v>
          </cell>
        </row>
        <row r="66">
          <cell r="J66">
            <v>6.29</v>
          </cell>
        </row>
        <row r="67">
          <cell r="J67">
            <v>3.09</v>
          </cell>
        </row>
        <row r="68">
          <cell r="J68">
            <v>3.09</v>
          </cell>
        </row>
        <row r="69">
          <cell r="J69">
            <v>2.37</v>
          </cell>
        </row>
        <row r="70">
          <cell r="J70" t="str">
            <v>OEM</v>
          </cell>
        </row>
        <row r="71">
          <cell r="J71" t="str">
            <v>OEM</v>
          </cell>
        </row>
        <row r="72">
          <cell r="J72">
            <v>6.29</v>
          </cell>
        </row>
        <row r="73">
          <cell r="J73">
            <v>3.09</v>
          </cell>
        </row>
        <row r="74">
          <cell r="J74">
            <v>3.09</v>
          </cell>
        </row>
        <row r="75">
          <cell r="J75" t="str">
            <v>OEM</v>
          </cell>
        </row>
        <row r="76">
          <cell r="J76" t="str">
            <v>OEM</v>
          </cell>
        </row>
        <row r="77">
          <cell r="J77" t="str">
            <v>OEM</v>
          </cell>
        </row>
        <row r="78">
          <cell r="J78" t="str">
            <v>OEM</v>
          </cell>
        </row>
        <row r="79">
          <cell r="J79" t="str">
            <v>OEM</v>
          </cell>
        </row>
        <row r="80">
          <cell r="J80" t="str">
            <v>OEM</v>
          </cell>
        </row>
        <row r="81">
          <cell r="J81" t="str">
            <v>OEM</v>
          </cell>
        </row>
        <row r="82">
          <cell r="J82" t="str">
            <v>OEM</v>
          </cell>
        </row>
        <row r="83">
          <cell r="J83" t="str">
            <v>OEM</v>
          </cell>
        </row>
        <row r="84">
          <cell r="J84" t="str">
            <v>OEM</v>
          </cell>
        </row>
        <row r="85">
          <cell r="J85" t="str">
            <v>OEM</v>
          </cell>
        </row>
        <row r="86">
          <cell r="J86" t="str">
            <v>OEM</v>
          </cell>
        </row>
        <row r="87">
          <cell r="J87" t="str">
            <v>OEM</v>
          </cell>
        </row>
        <row r="88">
          <cell r="J88" t="str">
            <v>OEM</v>
          </cell>
        </row>
        <row r="89">
          <cell r="J89" t="str">
            <v>OEM</v>
          </cell>
        </row>
        <row r="90">
          <cell r="J90" t="str">
            <v>OEM</v>
          </cell>
        </row>
        <row r="91">
          <cell r="J91" t="str">
            <v>OEM</v>
          </cell>
        </row>
      </sheetData>
      <sheetData sheetId="20">
        <row r="2">
          <cell r="J2">
            <v>6.1650000000000009</v>
          </cell>
        </row>
        <row r="3">
          <cell r="J3">
            <v>0</v>
          </cell>
        </row>
        <row r="4">
          <cell r="J4">
            <v>0</v>
          </cell>
        </row>
        <row r="5">
          <cell r="J5">
            <v>0</v>
          </cell>
        </row>
        <row r="6">
          <cell r="J6">
            <v>0</v>
          </cell>
        </row>
        <row r="7">
          <cell r="J7">
            <v>0</v>
          </cell>
        </row>
        <row r="8">
          <cell r="J8">
            <v>63.03</v>
          </cell>
        </row>
        <row r="9">
          <cell r="J9">
            <v>33.78</v>
          </cell>
        </row>
        <row r="10">
          <cell r="J10">
            <v>95.025000000000006</v>
          </cell>
        </row>
        <row r="11">
          <cell r="J11">
            <v>141.88499999999999</v>
          </cell>
        </row>
        <row r="12">
          <cell r="J12">
            <v>0</v>
          </cell>
        </row>
        <row r="16">
          <cell r="J16">
            <v>0</v>
          </cell>
        </row>
        <row r="20">
          <cell r="J20">
            <v>16.357499999999998</v>
          </cell>
        </row>
        <row r="21">
          <cell r="J21">
            <v>0</v>
          </cell>
        </row>
        <row r="22">
          <cell r="J22">
            <v>0</v>
          </cell>
        </row>
        <row r="23">
          <cell r="J23">
            <v>0</v>
          </cell>
        </row>
        <row r="24">
          <cell r="J24">
            <v>16.11</v>
          </cell>
        </row>
        <row r="25">
          <cell r="J25">
            <v>2.0550000000000002</v>
          </cell>
        </row>
        <row r="26">
          <cell r="J26">
            <v>0</v>
          </cell>
        </row>
        <row r="27">
          <cell r="J27">
            <v>16.89</v>
          </cell>
        </row>
        <row r="28">
          <cell r="J28">
            <v>0</v>
          </cell>
        </row>
        <row r="29">
          <cell r="J29">
            <v>0</v>
          </cell>
        </row>
        <row r="30">
          <cell r="J30">
            <v>5.4524999999999997</v>
          </cell>
        </row>
        <row r="31">
          <cell r="J31">
            <v>0</v>
          </cell>
        </row>
        <row r="32">
          <cell r="J32">
            <v>2.6850000000000001</v>
          </cell>
        </row>
        <row r="33">
          <cell r="J33">
            <v>0</v>
          </cell>
        </row>
        <row r="34">
          <cell r="J34">
            <v>2.0550000000000002</v>
          </cell>
        </row>
        <row r="35">
          <cell r="J35">
            <v>0</v>
          </cell>
        </row>
        <row r="36">
          <cell r="J36">
            <v>0</v>
          </cell>
        </row>
        <row r="37">
          <cell r="J37">
            <v>5.4524999999999997</v>
          </cell>
        </row>
        <row r="38">
          <cell r="J38">
            <v>0</v>
          </cell>
        </row>
        <row r="39">
          <cell r="J39">
            <v>5.37</v>
          </cell>
        </row>
        <row r="40">
          <cell r="J40">
            <v>16.89</v>
          </cell>
        </row>
        <row r="41">
          <cell r="J41">
            <v>2.0550000000000002</v>
          </cell>
        </row>
        <row r="42">
          <cell r="J42">
            <v>0</v>
          </cell>
        </row>
        <row r="43">
          <cell r="J43">
            <v>0</v>
          </cell>
        </row>
        <row r="44">
          <cell r="J44">
            <v>0</v>
          </cell>
        </row>
        <row r="45">
          <cell r="J45">
            <v>5.4524999999999997</v>
          </cell>
        </row>
        <row r="46">
          <cell r="J46">
            <v>0</v>
          </cell>
        </row>
        <row r="47">
          <cell r="J47">
            <v>2.6850000000000001</v>
          </cell>
        </row>
        <row r="48">
          <cell r="J48">
            <v>0</v>
          </cell>
        </row>
        <row r="49">
          <cell r="J49">
            <v>2.0550000000000002</v>
          </cell>
        </row>
        <row r="50">
          <cell r="J50">
            <v>0</v>
          </cell>
        </row>
        <row r="51">
          <cell r="J51">
            <v>0</v>
          </cell>
        </row>
        <row r="52">
          <cell r="J52">
            <v>5.4524999999999997</v>
          </cell>
        </row>
        <row r="53">
          <cell r="J53">
            <v>0</v>
          </cell>
        </row>
        <row r="54">
          <cell r="J54">
            <v>2.6850000000000001</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1">
        <row r="2">
          <cell r="J2">
            <v>5.9399999999999995</v>
          </cell>
        </row>
        <row r="3">
          <cell r="J3">
            <v>0</v>
          </cell>
        </row>
        <row r="4">
          <cell r="J4">
            <v>0</v>
          </cell>
        </row>
        <row r="5">
          <cell r="J5">
            <v>0</v>
          </cell>
        </row>
        <row r="6">
          <cell r="J6">
            <v>0</v>
          </cell>
        </row>
        <row r="7">
          <cell r="J7">
            <v>0</v>
          </cell>
        </row>
        <row r="8">
          <cell r="J8">
            <v>60.599999999999994</v>
          </cell>
        </row>
        <row r="9">
          <cell r="J9">
            <v>32.49</v>
          </cell>
        </row>
        <row r="10">
          <cell r="J10">
            <v>91.364999999999995</v>
          </cell>
        </row>
        <row r="11">
          <cell r="J11">
            <v>136.44</v>
          </cell>
        </row>
        <row r="12">
          <cell r="J12">
            <v>0</v>
          </cell>
        </row>
        <row r="16">
          <cell r="J16">
            <v>0</v>
          </cell>
        </row>
        <row r="20">
          <cell r="J20">
            <v>15.727499999999999</v>
          </cell>
        </row>
        <row r="21">
          <cell r="J21">
            <v>0</v>
          </cell>
        </row>
        <row r="22">
          <cell r="J22">
            <v>0</v>
          </cell>
        </row>
        <row r="23">
          <cell r="J23">
            <v>0</v>
          </cell>
        </row>
        <row r="24">
          <cell r="J24">
            <v>15.48</v>
          </cell>
        </row>
        <row r="25">
          <cell r="J25">
            <v>1.98</v>
          </cell>
        </row>
        <row r="26">
          <cell r="J26">
            <v>0</v>
          </cell>
        </row>
        <row r="27">
          <cell r="J27">
            <v>16.245000000000001</v>
          </cell>
        </row>
        <row r="28">
          <cell r="J28">
            <v>0</v>
          </cell>
        </row>
        <row r="29">
          <cell r="J29">
            <v>0</v>
          </cell>
        </row>
        <row r="30">
          <cell r="J30">
            <v>5.2424999999999997</v>
          </cell>
        </row>
        <row r="31">
          <cell r="J31">
            <v>0</v>
          </cell>
        </row>
        <row r="32">
          <cell r="J32">
            <v>2.58</v>
          </cell>
        </row>
        <row r="33">
          <cell r="J33">
            <v>0</v>
          </cell>
        </row>
        <row r="34">
          <cell r="J34">
            <v>1.98</v>
          </cell>
        </row>
        <row r="35">
          <cell r="J35">
            <v>0</v>
          </cell>
        </row>
        <row r="36">
          <cell r="J36">
            <v>0</v>
          </cell>
        </row>
        <row r="37">
          <cell r="J37">
            <v>5.2424999999999997</v>
          </cell>
        </row>
        <row r="38">
          <cell r="J38">
            <v>0</v>
          </cell>
        </row>
        <row r="39">
          <cell r="J39">
            <v>5.16</v>
          </cell>
        </row>
        <row r="40">
          <cell r="J40">
            <v>16.245000000000001</v>
          </cell>
        </row>
        <row r="41">
          <cell r="J41">
            <v>1.98</v>
          </cell>
        </row>
        <row r="42">
          <cell r="J42">
            <v>0</v>
          </cell>
        </row>
        <row r="43">
          <cell r="J43">
            <v>0</v>
          </cell>
        </row>
        <row r="44">
          <cell r="J44">
            <v>0</v>
          </cell>
        </row>
        <row r="45">
          <cell r="J45">
            <v>5.2424999999999997</v>
          </cell>
        </row>
        <row r="46">
          <cell r="J46">
            <v>0</v>
          </cell>
        </row>
        <row r="47">
          <cell r="J47">
            <v>2.58</v>
          </cell>
        </row>
        <row r="48">
          <cell r="J48">
            <v>0</v>
          </cell>
        </row>
        <row r="49">
          <cell r="J49">
            <v>1.98</v>
          </cell>
        </row>
        <row r="50">
          <cell r="J50">
            <v>0</v>
          </cell>
        </row>
        <row r="51">
          <cell r="J51">
            <v>0</v>
          </cell>
        </row>
        <row r="52">
          <cell r="J52">
            <v>5.2424999999999997</v>
          </cell>
        </row>
        <row r="53">
          <cell r="J53">
            <v>0</v>
          </cell>
        </row>
        <row r="54">
          <cell r="J54">
            <v>2.58</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2">
        <row r="2">
          <cell r="J2">
            <v>7.92</v>
          </cell>
        </row>
        <row r="3">
          <cell r="J3">
            <v>0</v>
          </cell>
        </row>
        <row r="4">
          <cell r="J4">
            <v>0</v>
          </cell>
        </row>
        <row r="5">
          <cell r="J5">
            <v>0</v>
          </cell>
        </row>
        <row r="6">
          <cell r="J6">
            <v>0</v>
          </cell>
        </row>
        <row r="7">
          <cell r="J7">
            <v>0</v>
          </cell>
        </row>
        <row r="8">
          <cell r="J8">
            <v>80.97</v>
          </cell>
        </row>
        <row r="9">
          <cell r="J9">
            <v>43.38</v>
          </cell>
        </row>
        <row r="10">
          <cell r="J10">
            <v>122.07</v>
          </cell>
        </row>
        <row r="11">
          <cell r="J11">
            <v>182.27250000000004</v>
          </cell>
        </row>
        <row r="12">
          <cell r="J12">
            <v>0</v>
          </cell>
        </row>
        <row r="16">
          <cell r="J16">
            <v>0</v>
          </cell>
        </row>
        <row r="20">
          <cell r="J20">
            <v>21.015000000000001</v>
          </cell>
        </row>
        <row r="21">
          <cell r="J21">
            <v>0</v>
          </cell>
        </row>
        <row r="22">
          <cell r="J22">
            <v>0</v>
          </cell>
        </row>
        <row r="23">
          <cell r="J23">
            <v>0</v>
          </cell>
        </row>
        <row r="24">
          <cell r="J24">
            <v>20.655000000000001</v>
          </cell>
        </row>
        <row r="25">
          <cell r="J25">
            <v>2.64</v>
          </cell>
        </row>
        <row r="26">
          <cell r="J26">
            <v>0</v>
          </cell>
        </row>
        <row r="27">
          <cell r="J27">
            <v>21.69</v>
          </cell>
        </row>
        <row r="28">
          <cell r="J28">
            <v>0</v>
          </cell>
        </row>
        <row r="29">
          <cell r="J29">
            <v>0</v>
          </cell>
        </row>
        <row r="30">
          <cell r="J30">
            <v>7.0049999999999999</v>
          </cell>
        </row>
        <row r="31">
          <cell r="J31">
            <v>0</v>
          </cell>
        </row>
        <row r="32">
          <cell r="J32">
            <v>3.4424999999999999</v>
          </cell>
        </row>
        <row r="33">
          <cell r="J33">
            <v>0</v>
          </cell>
        </row>
        <row r="34">
          <cell r="J34">
            <v>2.64</v>
          </cell>
        </row>
        <row r="35">
          <cell r="J35">
            <v>0</v>
          </cell>
        </row>
        <row r="36">
          <cell r="J36">
            <v>0</v>
          </cell>
        </row>
        <row r="37">
          <cell r="J37">
            <v>7.0049999999999999</v>
          </cell>
        </row>
        <row r="38">
          <cell r="J38">
            <v>0</v>
          </cell>
        </row>
        <row r="39">
          <cell r="J39">
            <v>6.8849999999999998</v>
          </cell>
        </row>
        <row r="40">
          <cell r="J40">
            <v>21.69</v>
          </cell>
        </row>
        <row r="41">
          <cell r="J41">
            <v>2.64</v>
          </cell>
        </row>
        <row r="42">
          <cell r="J42">
            <v>0</v>
          </cell>
        </row>
        <row r="43">
          <cell r="J43">
            <v>0</v>
          </cell>
        </row>
        <row r="44">
          <cell r="J44">
            <v>0</v>
          </cell>
        </row>
        <row r="45">
          <cell r="J45">
            <v>7.0049999999999999</v>
          </cell>
        </row>
        <row r="46">
          <cell r="J46">
            <v>0</v>
          </cell>
        </row>
        <row r="47">
          <cell r="J47">
            <v>3.4424999999999999</v>
          </cell>
        </row>
        <row r="48">
          <cell r="J48">
            <v>0</v>
          </cell>
        </row>
        <row r="49">
          <cell r="J49">
            <v>2.64</v>
          </cell>
        </row>
        <row r="50">
          <cell r="J50">
            <v>0</v>
          </cell>
        </row>
        <row r="51">
          <cell r="J51">
            <v>0</v>
          </cell>
        </row>
        <row r="52">
          <cell r="J52">
            <v>7.0049999999999999</v>
          </cell>
        </row>
        <row r="53">
          <cell r="J53">
            <v>0</v>
          </cell>
        </row>
        <row r="54">
          <cell r="J54">
            <v>3.4424999999999999</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3">
        <row r="2">
          <cell r="J2">
            <v>9.5849999999999991</v>
          </cell>
        </row>
        <row r="3">
          <cell r="J3">
            <v>0</v>
          </cell>
        </row>
        <row r="4">
          <cell r="J4">
            <v>0</v>
          </cell>
        </row>
        <row r="5">
          <cell r="J5">
            <v>0</v>
          </cell>
        </row>
        <row r="6">
          <cell r="J6">
            <v>0</v>
          </cell>
        </row>
        <row r="7">
          <cell r="J7">
            <v>0</v>
          </cell>
        </row>
        <row r="8">
          <cell r="J8">
            <v>97.92</v>
          </cell>
        </row>
        <row r="9">
          <cell r="J9">
            <v>52.47</v>
          </cell>
        </row>
        <row r="10">
          <cell r="J10">
            <v>147.64500000000001</v>
          </cell>
        </row>
        <row r="11">
          <cell r="J11">
            <v>220.47749999999996</v>
          </cell>
        </row>
        <row r="12">
          <cell r="J12">
            <v>0</v>
          </cell>
        </row>
        <row r="16">
          <cell r="J16">
            <v>0</v>
          </cell>
        </row>
        <row r="20">
          <cell r="J20">
            <v>25.402499999999996</v>
          </cell>
        </row>
        <row r="21">
          <cell r="J21">
            <v>0</v>
          </cell>
        </row>
        <row r="22">
          <cell r="J22">
            <v>0</v>
          </cell>
        </row>
        <row r="23">
          <cell r="J23">
            <v>0</v>
          </cell>
        </row>
        <row r="24">
          <cell r="J24">
            <v>25.02</v>
          </cell>
        </row>
        <row r="25">
          <cell r="J25">
            <v>3.1949999999999998</v>
          </cell>
        </row>
        <row r="26">
          <cell r="J26">
            <v>0</v>
          </cell>
        </row>
        <row r="27">
          <cell r="J27">
            <v>26.234999999999999</v>
          </cell>
        </row>
        <row r="28">
          <cell r="J28">
            <v>0</v>
          </cell>
        </row>
        <row r="29">
          <cell r="J29">
            <v>0</v>
          </cell>
        </row>
        <row r="30">
          <cell r="J30">
            <v>8.4674999999999994</v>
          </cell>
        </row>
        <row r="31">
          <cell r="J31">
            <v>0</v>
          </cell>
        </row>
        <row r="32">
          <cell r="J32">
            <v>4.17</v>
          </cell>
        </row>
        <row r="33">
          <cell r="J33">
            <v>0</v>
          </cell>
        </row>
        <row r="34">
          <cell r="J34">
            <v>3.1949999999999998</v>
          </cell>
        </row>
        <row r="35">
          <cell r="J35">
            <v>0</v>
          </cell>
        </row>
        <row r="36">
          <cell r="J36">
            <v>0</v>
          </cell>
        </row>
        <row r="37">
          <cell r="J37">
            <v>8.4674999999999994</v>
          </cell>
        </row>
        <row r="38">
          <cell r="J38">
            <v>0</v>
          </cell>
        </row>
        <row r="39">
          <cell r="J39">
            <v>8.34</v>
          </cell>
        </row>
        <row r="40">
          <cell r="J40">
            <v>26.234999999999999</v>
          </cell>
        </row>
        <row r="41">
          <cell r="J41">
            <v>3.1949999999999998</v>
          </cell>
        </row>
        <row r="42">
          <cell r="J42">
            <v>0</v>
          </cell>
        </row>
        <row r="43">
          <cell r="J43">
            <v>0</v>
          </cell>
        </row>
        <row r="44">
          <cell r="J44">
            <v>0</v>
          </cell>
        </row>
        <row r="45">
          <cell r="J45">
            <v>8.4674999999999994</v>
          </cell>
        </row>
        <row r="46">
          <cell r="J46">
            <v>0</v>
          </cell>
        </row>
        <row r="47">
          <cell r="J47">
            <v>4.17</v>
          </cell>
        </row>
        <row r="48">
          <cell r="J48">
            <v>0</v>
          </cell>
        </row>
        <row r="49">
          <cell r="J49">
            <v>3.1949999999999998</v>
          </cell>
        </row>
        <row r="50">
          <cell r="J50">
            <v>0</v>
          </cell>
        </row>
        <row r="51">
          <cell r="J51">
            <v>0</v>
          </cell>
        </row>
        <row r="52">
          <cell r="J52">
            <v>8.4674999999999994</v>
          </cell>
        </row>
        <row r="53">
          <cell r="J53">
            <v>0</v>
          </cell>
        </row>
        <row r="54">
          <cell r="J54">
            <v>4.17</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4">
        <row r="2">
          <cell r="J2">
            <v>5.4675000000000011</v>
          </cell>
        </row>
        <row r="3">
          <cell r="J3">
            <v>0</v>
          </cell>
        </row>
        <row r="4">
          <cell r="J4">
            <v>0</v>
          </cell>
        </row>
        <row r="5">
          <cell r="J5">
            <v>0</v>
          </cell>
        </row>
        <row r="6">
          <cell r="J6">
            <v>0</v>
          </cell>
        </row>
        <row r="7">
          <cell r="J7">
            <v>0</v>
          </cell>
        </row>
        <row r="8">
          <cell r="J8">
            <v>55.739999999999995</v>
          </cell>
        </row>
        <row r="9">
          <cell r="J9">
            <v>29.880000000000003</v>
          </cell>
        </row>
        <row r="10">
          <cell r="J10">
            <v>84.06</v>
          </cell>
        </row>
        <row r="11">
          <cell r="J11">
            <v>125.5275</v>
          </cell>
        </row>
        <row r="12">
          <cell r="J12">
            <v>0</v>
          </cell>
        </row>
        <row r="16">
          <cell r="J16">
            <v>0</v>
          </cell>
        </row>
        <row r="20">
          <cell r="J20">
            <v>14.467499999999999</v>
          </cell>
        </row>
        <row r="21">
          <cell r="J21">
            <v>0</v>
          </cell>
        </row>
        <row r="22">
          <cell r="J22">
            <v>0</v>
          </cell>
        </row>
        <row r="23">
          <cell r="J23">
            <v>0</v>
          </cell>
        </row>
        <row r="24">
          <cell r="J24">
            <v>14.22</v>
          </cell>
        </row>
        <row r="25">
          <cell r="J25">
            <v>1.8225000000000002</v>
          </cell>
        </row>
        <row r="26">
          <cell r="J26">
            <v>0</v>
          </cell>
        </row>
        <row r="27">
          <cell r="J27">
            <v>14.940000000000001</v>
          </cell>
        </row>
        <row r="28">
          <cell r="J28">
            <v>0</v>
          </cell>
        </row>
        <row r="29">
          <cell r="J29">
            <v>0</v>
          </cell>
        </row>
        <row r="30">
          <cell r="J30">
            <v>4.8224999999999998</v>
          </cell>
        </row>
        <row r="31">
          <cell r="J31">
            <v>0</v>
          </cell>
        </row>
        <row r="32">
          <cell r="J32">
            <v>2.37</v>
          </cell>
        </row>
        <row r="33">
          <cell r="J33">
            <v>0</v>
          </cell>
        </row>
        <row r="34">
          <cell r="J34">
            <v>1.8225000000000002</v>
          </cell>
        </row>
        <row r="35">
          <cell r="J35">
            <v>0</v>
          </cell>
        </row>
        <row r="36">
          <cell r="J36">
            <v>0</v>
          </cell>
        </row>
        <row r="37">
          <cell r="J37">
            <v>4.8224999999999998</v>
          </cell>
        </row>
        <row r="38">
          <cell r="J38">
            <v>0</v>
          </cell>
        </row>
        <row r="39">
          <cell r="J39">
            <v>4.74</v>
          </cell>
        </row>
        <row r="40">
          <cell r="J40">
            <v>14.940000000000001</v>
          </cell>
        </row>
        <row r="41">
          <cell r="J41">
            <v>1.8225000000000002</v>
          </cell>
        </row>
        <row r="42">
          <cell r="J42">
            <v>0</v>
          </cell>
        </row>
        <row r="43">
          <cell r="J43">
            <v>0</v>
          </cell>
        </row>
        <row r="44">
          <cell r="J44">
            <v>0</v>
          </cell>
        </row>
        <row r="45">
          <cell r="J45">
            <v>4.8224999999999998</v>
          </cell>
        </row>
        <row r="46">
          <cell r="J46">
            <v>0</v>
          </cell>
        </row>
        <row r="47">
          <cell r="J47">
            <v>2.37</v>
          </cell>
        </row>
        <row r="48">
          <cell r="J48">
            <v>0</v>
          </cell>
        </row>
        <row r="49">
          <cell r="J49">
            <v>1.8225000000000002</v>
          </cell>
        </row>
        <row r="50">
          <cell r="J50">
            <v>0</v>
          </cell>
        </row>
        <row r="51">
          <cell r="J51">
            <v>0</v>
          </cell>
        </row>
        <row r="52">
          <cell r="J52">
            <v>4.8224999999999998</v>
          </cell>
        </row>
        <row r="53">
          <cell r="J53">
            <v>0</v>
          </cell>
        </row>
        <row r="54">
          <cell r="J54">
            <v>2.37</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5">
        <row r="2">
          <cell r="J2">
            <v>5.4675000000000011</v>
          </cell>
        </row>
        <row r="3">
          <cell r="J3">
            <v>0</v>
          </cell>
        </row>
        <row r="4">
          <cell r="J4">
            <v>0</v>
          </cell>
        </row>
        <row r="5">
          <cell r="J5">
            <v>0</v>
          </cell>
        </row>
        <row r="6">
          <cell r="J6">
            <v>0</v>
          </cell>
        </row>
        <row r="7">
          <cell r="J7">
            <v>0</v>
          </cell>
        </row>
        <row r="8">
          <cell r="J8">
            <v>55.739999999999995</v>
          </cell>
        </row>
        <row r="9">
          <cell r="J9">
            <v>29.880000000000003</v>
          </cell>
        </row>
        <row r="10">
          <cell r="J10">
            <v>84.06</v>
          </cell>
        </row>
        <row r="11">
          <cell r="J11">
            <v>125.5275</v>
          </cell>
        </row>
        <row r="12">
          <cell r="J12">
            <v>0</v>
          </cell>
        </row>
        <row r="16">
          <cell r="J16">
            <v>0</v>
          </cell>
        </row>
        <row r="20">
          <cell r="J20">
            <v>14.467499999999999</v>
          </cell>
        </row>
        <row r="21">
          <cell r="J21">
            <v>0</v>
          </cell>
        </row>
        <row r="22">
          <cell r="J22">
            <v>0</v>
          </cell>
        </row>
        <row r="23">
          <cell r="J23">
            <v>0</v>
          </cell>
        </row>
        <row r="24">
          <cell r="J24">
            <v>14.22</v>
          </cell>
        </row>
        <row r="25">
          <cell r="J25">
            <v>1.8225000000000002</v>
          </cell>
        </row>
        <row r="26">
          <cell r="J26">
            <v>0</v>
          </cell>
        </row>
        <row r="27">
          <cell r="J27">
            <v>14.940000000000001</v>
          </cell>
        </row>
        <row r="28">
          <cell r="J28">
            <v>0</v>
          </cell>
        </row>
        <row r="29">
          <cell r="J29">
            <v>0</v>
          </cell>
        </row>
        <row r="30">
          <cell r="J30">
            <v>4.8224999999999998</v>
          </cell>
        </row>
        <row r="31">
          <cell r="J31">
            <v>0</v>
          </cell>
        </row>
        <row r="32">
          <cell r="J32">
            <v>2.37</v>
          </cell>
        </row>
        <row r="33">
          <cell r="J33">
            <v>0</v>
          </cell>
        </row>
        <row r="34">
          <cell r="J34">
            <v>1.8225000000000002</v>
          </cell>
        </row>
        <row r="35">
          <cell r="J35">
            <v>0</v>
          </cell>
        </row>
        <row r="36">
          <cell r="J36">
            <v>0</v>
          </cell>
        </row>
        <row r="37">
          <cell r="J37">
            <v>4.8224999999999998</v>
          </cell>
        </row>
        <row r="38">
          <cell r="J38">
            <v>0</v>
          </cell>
        </row>
        <row r="39">
          <cell r="J39">
            <v>4.74</v>
          </cell>
        </row>
        <row r="40">
          <cell r="J40">
            <v>14.940000000000001</v>
          </cell>
        </row>
        <row r="41">
          <cell r="J41">
            <v>1.8225000000000002</v>
          </cell>
        </row>
        <row r="42">
          <cell r="J42">
            <v>0</v>
          </cell>
        </row>
        <row r="43">
          <cell r="J43">
            <v>0</v>
          </cell>
        </row>
        <row r="44">
          <cell r="J44">
            <v>0</v>
          </cell>
        </row>
        <row r="45">
          <cell r="J45">
            <v>4.8224999999999998</v>
          </cell>
        </row>
        <row r="46">
          <cell r="J46">
            <v>0</v>
          </cell>
        </row>
        <row r="47">
          <cell r="J47">
            <v>2.37</v>
          </cell>
        </row>
        <row r="48">
          <cell r="J48">
            <v>0</v>
          </cell>
        </row>
        <row r="49">
          <cell r="J49">
            <v>1.8225000000000002</v>
          </cell>
        </row>
        <row r="50">
          <cell r="J50">
            <v>0</v>
          </cell>
        </row>
        <row r="51">
          <cell r="J51">
            <v>0</v>
          </cell>
        </row>
        <row r="52">
          <cell r="J52">
            <v>4.8224999999999998</v>
          </cell>
        </row>
        <row r="53">
          <cell r="J53">
            <v>0</v>
          </cell>
        </row>
        <row r="54">
          <cell r="J54">
            <v>2.37</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6">
        <row r="2">
          <cell r="J2">
            <v>7.4025000000000007</v>
          </cell>
        </row>
        <row r="3">
          <cell r="J3">
            <v>0</v>
          </cell>
        </row>
        <row r="4">
          <cell r="J4">
            <v>0</v>
          </cell>
        </row>
        <row r="5">
          <cell r="J5">
            <v>0</v>
          </cell>
        </row>
        <row r="6">
          <cell r="J6">
            <v>0</v>
          </cell>
        </row>
        <row r="7">
          <cell r="J7">
            <v>0</v>
          </cell>
        </row>
        <row r="8">
          <cell r="J8">
            <v>75.63</v>
          </cell>
        </row>
        <row r="9">
          <cell r="J9">
            <v>40.53</v>
          </cell>
        </row>
        <row r="10">
          <cell r="J10">
            <v>114.03</v>
          </cell>
        </row>
        <row r="11">
          <cell r="J11">
            <v>170.28000000000003</v>
          </cell>
        </row>
        <row r="12">
          <cell r="J12">
            <v>0</v>
          </cell>
        </row>
        <row r="16">
          <cell r="J16">
            <v>0</v>
          </cell>
        </row>
        <row r="20">
          <cell r="J20">
            <v>19.620000000000005</v>
          </cell>
        </row>
        <row r="21">
          <cell r="J21">
            <v>0</v>
          </cell>
        </row>
        <row r="22">
          <cell r="J22">
            <v>0</v>
          </cell>
        </row>
        <row r="23">
          <cell r="J23">
            <v>0</v>
          </cell>
        </row>
        <row r="24">
          <cell r="J24">
            <v>19.305</v>
          </cell>
        </row>
        <row r="25">
          <cell r="J25">
            <v>2.4675000000000002</v>
          </cell>
        </row>
        <row r="26">
          <cell r="J26">
            <v>0</v>
          </cell>
        </row>
        <row r="27">
          <cell r="J27">
            <v>20.265000000000001</v>
          </cell>
        </row>
        <row r="28">
          <cell r="J28">
            <v>0</v>
          </cell>
        </row>
        <row r="29">
          <cell r="J29">
            <v>0</v>
          </cell>
        </row>
        <row r="30">
          <cell r="J30">
            <v>6.5400000000000009</v>
          </cell>
        </row>
        <row r="31">
          <cell r="J31">
            <v>0</v>
          </cell>
        </row>
        <row r="32">
          <cell r="J32">
            <v>3.2175000000000002</v>
          </cell>
        </row>
        <row r="33">
          <cell r="J33">
            <v>0</v>
          </cell>
        </row>
        <row r="34">
          <cell r="J34">
            <v>2.4675000000000002</v>
          </cell>
        </row>
        <row r="35">
          <cell r="J35">
            <v>0</v>
          </cell>
        </row>
        <row r="36">
          <cell r="J36">
            <v>0</v>
          </cell>
        </row>
        <row r="37">
          <cell r="J37">
            <v>6.5400000000000009</v>
          </cell>
        </row>
        <row r="38">
          <cell r="J38">
            <v>0</v>
          </cell>
        </row>
        <row r="39">
          <cell r="J39">
            <v>6.4350000000000005</v>
          </cell>
        </row>
        <row r="40">
          <cell r="J40">
            <v>20.265000000000001</v>
          </cell>
        </row>
        <row r="41">
          <cell r="J41">
            <v>2.4675000000000002</v>
          </cell>
        </row>
        <row r="42">
          <cell r="J42">
            <v>0</v>
          </cell>
        </row>
        <row r="43">
          <cell r="J43">
            <v>0</v>
          </cell>
        </row>
        <row r="44">
          <cell r="J44">
            <v>0</v>
          </cell>
        </row>
        <row r="45">
          <cell r="J45">
            <v>6.5400000000000009</v>
          </cell>
        </row>
        <row r="46">
          <cell r="J46">
            <v>0</v>
          </cell>
        </row>
        <row r="47">
          <cell r="J47">
            <v>3.2175000000000002</v>
          </cell>
        </row>
        <row r="48">
          <cell r="J48">
            <v>0</v>
          </cell>
        </row>
        <row r="49">
          <cell r="J49">
            <v>2.4675000000000002</v>
          </cell>
        </row>
        <row r="50">
          <cell r="J50">
            <v>0</v>
          </cell>
        </row>
        <row r="51">
          <cell r="J51">
            <v>0</v>
          </cell>
        </row>
        <row r="52">
          <cell r="J52">
            <v>6.5400000000000009</v>
          </cell>
        </row>
        <row r="53">
          <cell r="J53">
            <v>0</v>
          </cell>
        </row>
        <row r="54">
          <cell r="J54">
            <v>3.2175000000000002</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sheetData>
      <sheetData sheetId="27">
        <row r="2">
          <cell r="J2">
            <v>7.11</v>
          </cell>
        </row>
        <row r="3">
          <cell r="J3" t="str">
            <v>OEM</v>
          </cell>
        </row>
        <row r="4">
          <cell r="J4" t="str">
            <v>OEM</v>
          </cell>
        </row>
        <row r="5">
          <cell r="J5" t="str">
            <v>OEM</v>
          </cell>
        </row>
        <row r="6">
          <cell r="J6" t="str">
            <v>OEM</v>
          </cell>
        </row>
        <row r="7">
          <cell r="J7" t="str">
            <v>OEM</v>
          </cell>
        </row>
        <row r="8">
          <cell r="J8">
            <v>72.72</v>
          </cell>
        </row>
        <row r="9">
          <cell r="J9">
            <v>19.5</v>
          </cell>
        </row>
        <row r="10">
          <cell r="J10">
            <v>109.66</v>
          </cell>
        </row>
        <row r="11">
          <cell r="J11">
            <v>327.42</v>
          </cell>
        </row>
        <row r="12">
          <cell r="J12" t="str">
            <v>OEM</v>
          </cell>
        </row>
        <row r="13">
          <cell r="J13" t="str">
            <v>OEM</v>
          </cell>
        </row>
        <row r="14">
          <cell r="J14" t="str">
            <v>OEM</v>
          </cell>
        </row>
        <row r="15">
          <cell r="J15" t="str">
            <v>OEM</v>
          </cell>
        </row>
        <row r="16">
          <cell r="J16" t="str">
            <v>OEM</v>
          </cell>
        </row>
        <row r="17">
          <cell r="J17" t="str">
            <v>OEM</v>
          </cell>
        </row>
        <row r="18">
          <cell r="J18" t="str">
            <v>OEM</v>
          </cell>
        </row>
        <row r="19">
          <cell r="J19" t="str">
            <v>OEM</v>
          </cell>
        </row>
        <row r="20">
          <cell r="J20">
            <v>18.87</v>
          </cell>
        </row>
        <row r="21">
          <cell r="J21" t="str">
            <v>OEM</v>
          </cell>
        </row>
        <row r="22">
          <cell r="J22" t="str">
            <v>OEM</v>
          </cell>
        </row>
        <row r="23">
          <cell r="J23" t="str">
            <v>OEM</v>
          </cell>
        </row>
        <row r="24">
          <cell r="J24">
            <v>9.27</v>
          </cell>
        </row>
        <row r="25">
          <cell r="J25">
            <v>9.27</v>
          </cell>
        </row>
        <row r="26">
          <cell r="J26">
            <v>2.37</v>
          </cell>
        </row>
        <row r="27">
          <cell r="J27" t="str">
            <v>OEM</v>
          </cell>
        </row>
        <row r="28">
          <cell r="J28">
            <v>19.5</v>
          </cell>
        </row>
        <row r="29">
          <cell r="J29" t="str">
            <v>OEM</v>
          </cell>
        </row>
        <row r="30">
          <cell r="J30">
            <v>6.29</v>
          </cell>
        </row>
        <row r="31">
          <cell r="J31">
            <v>3.09</v>
          </cell>
        </row>
        <row r="32">
          <cell r="J32">
            <v>3.09</v>
          </cell>
        </row>
        <row r="45">
          <cell r="J45">
            <v>2.37</v>
          </cell>
        </row>
        <row r="46">
          <cell r="J46" t="str">
            <v>OEM</v>
          </cell>
        </row>
        <row r="47">
          <cell r="J47" t="str">
            <v>OEM</v>
          </cell>
        </row>
        <row r="48">
          <cell r="J48">
            <v>6.29</v>
          </cell>
        </row>
        <row r="49">
          <cell r="J49">
            <v>3.09</v>
          </cell>
        </row>
        <row r="50">
          <cell r="J50">
            <v>3.09</v>
          </cell>
        </row>
        <row r="62">
          <cell r="J62">
            <v>2.37</v>
          </cell>
        </row>
        <row r="63">
          <cell r="J63" t="str">
            <v>OEM</v>
          </cell>
        </row>
        <row r="64">
          <cell r="J64" t="str">
            <v>OEM</v>
          </cell>
        </row>
        <row r="65">
          <cell r="J65" t="str">
            <v>OEM</v>
          </cell>
        </row>
        <row r="66">
          <cell r="J66">
            <v>6.29</v>
          </cell>
        </row>
        <row r="67">
          <cell r="J67">
            <v>3.09</v>
          </cell>
        </row>
        <row r="68">
          <cell r="J68">
            <v>3.09</v>
          </cell>
        </row>
        <row r="69">
          <cell r="J69">
            <v>2.37</v>
          </cell>
        </row>
        <row r="70">
          <cell r="J70" t="str">
            <v>OEM</v>
          </cell>
        </row>
        <row r="71">
          <cell r="J71" t="str">
            <v>OEM</v>
          </cell>
        </row>
        <row r="72">
          <cell r="J72">
            <v>6.29</v>
          </cell>
        </row>
        <row r="73">
          <cell r="J73">
            <v>3.09</v>
          </cell>
        </row>
        <row r="74">
          <cell r="J74">
            <v>3.09</v>
          </cell>
        </row>
        <row r="75">
          <cell r="J75" t="str">
            <v>OEM</v>
          </cell>
        </row>
        <row r="76">
          <cell r="J76" t="str">
            <v>OEM</v>
          </cell>
        </row>
        <row r="77">
          <cell r="J77" t="str">
            <v>OEM</v>
          </cell>
        </row>
        <row r="78">
          <cell r="J78" t="str">
            <v>OEM</v>
          </cell>
        </row>
        <row r="79">
          <cell r="J79" t="str">
            <v>OEM</v>
          </cell>
        </row>
        <row r="80">
          <cell r="J80" t="str">
            <v>OEM</v>
          </cell>
        </row>
        <row r="81">
          <cell r="J81" t="str">
            <v>OEM</v>
          </cell>
        </row>
        <row r="82">
          <cell r="J82" t="str">
            <v>OEM</v>
          </cell>
        </row>
        <row r="83">
          <cell r="J83" t="str">
            <v>OEM</v>
          </cell>
        </row>
        <row r="84">
          <cell r="J84" t="str">
            <v>OEM</v>
          </cell>
        </row>
        <row r="85">
          <cell r="J85" t="str">
            <v>OEM</v>
          </cell>
        </row>
        <row r="86">
          <cell r="J86" t="str">
            <v>OEM</v>
          </cell>
        </row>
        <row r="87">
          <cell r="J87" t="str">
            <v>OEM</v>
          </cell>
        </row>
        <row r="88">
          <cell r="J88" t="str">
            <v>OEM</v>
          </cell>
        </row>
        <row r="89">
          <cell r="J89" t="str">
            <v>OEM</v>
          </cell>
        </row>
        <row r="90">
          <cell r="J90" t="str">
            <v>OEM</v>
          </cell>
        </row>
        <row r="91">
          <cell r="J91" t="str">
            <v>OEM</v>
          </cell>
        </row>
      </sheetData>
    </sheetDataSet>
  </externalBook>
</externalLink>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IJoB2IAflCzjheZJfaz5mfzEWw5jRcoWEgDQz1yU2Yk&amp;qlt=95" TargetMode="External"/><Relationship Id="rId18" Type="http://schemas.openxmlformats.org/officeDocument/2006/relationships/hyperlink" Target="https://www.bing.com/images/search?form=xlimg&amp;q=Italy" TargetMode="External"/><Relationship Id="rId26" Type="http://schemas.openxmlformats.org/officeDocument/2006/relationships/hyperlink" Target="https://www.bing.com/images/search?form=xlimg&amp;q=Netherlands" TargetMode="External"/><Relationship Id="rId39" Type="http://schemas.openxmlformats.org/officeDocument/2006/relationships/hyperlink" Target="https://www.bing.com/th?id=OSK.75c2b81210d1707ebd5a79ba71af5914&amp;qlt=95" TargetMode="External"/><Relationship Id="rId21" Type="http://schemas.openxmlformats.org/officeDocument/2006/relationships/hyperlink" Target="https://www.bing.com/th?id=OSK.2e5ae37a1125e977eb781fe1567bce8a&amp;qlt=95" TargetMode="External"/><Relationship Id="rId34" Type="http://schemas.openxmlformats.org/officeDocument/2006/relationships/hyperlink" Target="https://www.bing.com/images/search?form=xlimg&amp;q=India" TargetMode="External"/><Relationship Id="rId42" Type="http://schemas.openxmlformats.org/officeDocument/2006/relationships/hyperlink" Target="https://www.bing.com/images/search?form=xlimg&amp;q=Singapore" TargetMode="External"/><Relationship Id="rId47" Type="http://schemas.openxmlformats.org/officeDocument/2006/relationships/hyperlink" Target="https://www.bing.com/th?id=OSK.wh-UTEFTEh6yXROAExnHHJuw4N-wHkAAkwvLwczJijw&amp;qlt=95" TargetMode="External"/><Relationship Id="rId50" Type="http://schemas.openxmlformats.org/officeDocument/2006/relationships/hyperlink" Target="https://www.bing.com/images/search?form=xlimg&amp;q=Philippines" TargetMode="External"/><Relationship Id="rId7" Type="http://schemas.openxmlformats.org/officeDocument/2006/relationships/hyperlink" Target="https://www.bing.com/th?id=OSK.dQRnOlTKTXrhKm9OaxUUVBGNjKK1hL9mKy8jDit9INI&amp;qlt=95" TargetMode="External"/><Relationship Id="rId2" Type="http://schemas.openxmlformats.org/officeDocument/2006/relationships/hyperlink" Target="https://www.bing.com/images/search?form=xlimg&amp;q=United%20States" TargetMode="External"/><Relationship Id="rId16" Type="http://schemas.openxmlformats.org/officeDocument/2006/relationships/hyperlink" Target="https://www.bing.com/images/search?form=xlimg&amp;q=Israel" TargetMode="External"/><Relationship Id="rId29" Type="http://schemas.openxmlformats.org/officeDocument/2006/relationships/hyperlink" Target="https://www.bing.com/th?id=OSK.1a33b5115bfc290abc8869de29ebd567&amp;qlt=95" TargetMode="External"/><Relationship Id="rId11" Type="http://schemas.openxmlformats.org/officeDocument/2006/relationships/hyperlink" Target="https://www.bing.com/th?id=OSK.ea703288926093d94f3ee0ae48dc323c&amp;qlt=95" TargetMode="External"/><Relationship Id="rId24" Type="http://schemas.openxmlformats.org/officeDocument/2006/relationships/hyperlink" Target="https://www.bing.com/images/search?form=xlimg&amp;q=Sweden" TargetMode="External"/><Relationship Id="rId32" Type="http://schemas.openxmlformats.org/officeDocument/2006/relationships/hyperlink" Target="https://www.bing.com/images/search?form=xlimg&amp;q=Australia" TargetMode="External"/><Relationship Id="rId37" Type="http://schemas.openxmlformats.org/officeDocument/2006/relationships/hyperlink" Target="https://www.bing.com/th?id=OSK.mTs9AdlNDLziaMN3BIhJpWCGZaOOUwqIR2jN3FJEeTw&amp;qlt=95" TargetMode="External"/><Relationship Id="rId40" Type="http://schemas.openxmlformats.org/officeDocument/2006/relationships/hyperlink" Target="https://www.bing.com/images/search?form=xlimg&amp;q=Malaysia" TargetMode="External"/><Relationship Id="rId45" Type="http://schemas.openxmlformats.org/officeDocument/2006/relationships/hyperlink" Target="https://www.bing.com/th?id=OSK.25df30c19d33bb8b6b2e0396595bbfd6&amp;qlt=95" TargetMode="External"/><Relationship Id="rId5" Type="http://schemas.openxmlformats.org/officeDocument/2006/relationships/hyperlink" Target="https://www.bing.com/th?id=OSK.f2dbd079068622692d8b57832120921d&amp;qlt=95" TargetMode="External"/><Relationship Id="rId15" Type="http://schemas.openxmlformats.org/officeDocument/2006/relationships/hyperlink" Target="https://www.bing.com/th?id=OSK.2645723e4c6975ff4c578c04da130f2e&amp;qlt=95" TargetMode="External"/><Relationship Id="rId23" Type="http://schemas.openxmlformats.org/officeDocument/2006/relationships/hyperlink" Target="https://www.bing.com/th?id=OSK.66c2ebf9a8cace2226269d70b1d3b0fc&amp;qlt=95" TargetMode="External"/><Relationship Id="rId28" Type="http://schemas.openxmlformats.org/officeDocument/2006/relationships/hyperlink" Target="https://www.bing.com/images/search?form=xlimg&amp;q=United%20Arab%20Emirates" TargetMode="External"/><Relationship Id="rId36" Type="http://schemas.openxmlformats.org/officeDocument/2006/relationships/hyperlink" Target="https://www.bing.com/images/search?form=xlimg&amp;q=Indonesia" TargetMode="External"/><Relationship Id="rId49" Type="http://schemas.openxmlformats.org/officeDocument/2006/relationships/hyperlink" Target="https://www.bing.com/th?id=OSK.94d547e45ab6412094898994510adb0e&amp;qlt=95" TargetMode="External"/><Relationship Id="rId10" Type="http://schemas.openxmlformats.org/officeDocument/2006/relationships/hyperlink" Target="https://www.bing.com/images/search?form=xlimg&amp;q=Germany" TargetMode="External"/><Relationship Id="rId19" Type="http://schemas.openxmlformats.org/officeDocument/2006/relationships/hyperlink" Target="https://www.bing.com/th?id=OSK.1BmcMxc0GtCt_jlMQQM5GxJ5Qz5_CF0DkVug9_c7FDY&amp;qlt=95" TargetMode="External"/><Relationship Id="rId31" Type="http://schemas.openxmlformats.org/officeDocument/2006/relationships/hyperlink" Target="https://www.bing.com/th?id=OSK.bed9fc3690f3414a4850855fee332f1c&amp;qlt=95" TargetMode="External"/><Relationship Id="rId44" Type="http://schemas.openxmlformats.org/officeDocument/2006/relationships/hyperlink" Target="https://www.bing.com/images/search?form=xlimg&amp;q=Thailand" TargetMode="External"/><Relationship Id="rId4" Type="http://schemas.openxmlformats.org/officeDocument/2006/relationships/hyperlink" Target="https://www.bing.com/images/search?form=xlimg&amp;q=Brazil" TargetMode="External"/><Relationship Id="rId9" Type="http://schemas.openxmlformats.org/officeDocument/2006/relationships/hyperlink" Target="https://www.bing.com/th?id=OSK.7_iYqjXftHmThTCYlh51zbqPoNnoe4Qk7UaH59Ba1Z0&amp;qlt=95" TargetMode="External"/><Relationship Id="rId14" Type="http://schemas.openxmlformats.org/officeDocument/2006/relationships/hyperlink" Target="https://www.bing.com/images/search?form=xlimg&amp;q=France" TargetMode="External"/><Relationship Id="rId22" Type="http://schemas.openxmlformats.org/officeDocument/2006/relationships/hyperlink" Target="https://www.bing.com/images/search?form=xlimg&amp;q=Spain" TargetMode="External"/><Relationship Id="rId27" Type="http://schemas.openxmlformats.org/officeDocument/2006/relationships/hyperlink" Target="https://www.bing.com/th?id=OSK.ffaa47f2f4e92fa19bdb4953fe6f287a&amp;qlt=95" TargetMode="External"/><Relationship Id="rId30" Type="http://schemas.openxmlformats.org/officeDocument/2006/relationships/hyperlink" Target="https://www.bing.com/images/search?form=xlimg&amp;q=United%20Kingdom" TargetMode="External"/><Relationship Id="rId35" Type="http://schemas.openxmlformats.org/officeDocument/2006/relationships/hyperlink" Target="https://www.bing.com/th?id=OSK.Zl2rYbEOa6RnR5PxgY7VLDcsFkfskAZrZiNUjyMAlyM&amp;qlt=95" TargetMode="External"/><Relationship Id="rId43" Type="http://schemas.openxmlformats.org/officeDocument/2006/relationships/hyperlink" Target="https://www.bing.com/th?id=OSK.GqOT1qhL9G6u_5AL8_ul98pC_nA8lVsG2EBdNFIzeRo&amp;qlt=95" TargetMode="External"/><Relationship Id="rId48" Type="http://schemas.openxmlformats.org/officeDocument/2006/relationships/hyperlink" Target="https://www.bing.com/images/search?form=xlimg&amp;q=Poland" TargetMode="External"/><Relationship Id="rId8" Type="http://schemas.openxmlformats.org/officeDocument/2006/relationships/hyperlink" Target="https://www.bing.com/images/search?form=xlimg&amp;q=Belgium" TargetMode="External"/><Relationship Id="rId3" Type="http://schemas.openxmlformats.org/officeDocument/2006/relationships/hyperlink" Target="https://www.bing.com/th?id=OSK.380316b6ec7e3f5c2fadae3206181af4&amp;qlt=95" TargetMode="External"/><Relationship Id="rId12" Type="http://schemas.openxmlformats.org/officeDocument/2006/relationships/hyperlink" Target="https://www.bing.com/images/search?form=xlimg&amp;q=Finland" TargetMode="External"/><Relationship Id="rId17" Type="http://schemas.openxmlformats.org/officeDocument/2006/relationships/hyperlink" Target="https://www.bing.com/th?id=OSK.YyStd3n6FeCyDWZVKn54i8IqezKRsFpq7XThd1PUiDk&amp;qlt=95" TargetMode="External"/><Relationship Id="rId25" Type="http://schemas.openxmlformats.org/officeDocument/2006/relationships/hyperlink" Target="https://www.bing.com/th?id=OSK.8p2k5lHoxkLkVFhhRavwz0TU1HJcwyyrphMGrCfxYiE&amp;qlt=95" TargetMode="External"/><Relationship Id="rId33" Type="http://schemas.openxmlformats.org/officeDocument/2006/relationships/hyperlink" Target="https://www.bing.com/th?id=OSK.3386bc8d96f35351f9956787a1c677c6&amp;qlt=95" TargetMode="External"/><Relationship Id="rId38" Type="http://schemas.openxmlformats.org/officeDocument/2006/relationships/hyperlink" Target="https://www.bing.com/images/search?form=xlimg&amp;q=Japan" TargetMode="External"/><Relationship Id="rId46" Type="http://schemas.openxmlformats.org/officeDocument/2006/relationships/hyperlink" Target="https://www.bing.com/images/search?form=xlimg&amp;q=Norway" TargetMode="External"/><Relationship Id="rId20" Type="http://schemas.openxmlformats.org/officeDocument/2006/relationships/hyperlink" Target="https://www.bing.com/images/search?form=xlimg&amp;q=Luxembourg" TargetMode="External"/><Relationship Id="rId41" Type="http://schemas.openxmlformats.org/officeDocument/2006/relationships/hyperlink" Target="https://www.bing.com/th?id=OSK.57eddb9e5c586f93ebb1965e3a27908b&amp;qlt=95" TargetMode="External"/><Relationship Id="rId1" Type="http://schemas.openxmlformats.org/officeDocument/2006/relationships/hyperlink" Target="https://www.bing.com/th?id=OSK.08d481ce2e6378c8b3492a5438438208&amp;qlt=95" TargetMode="External"/><Relationship Id="rId6" Type="http://schemas.openxmlformats.org/officeDocument/2006/relationships/hyperlink" Target="https://www.bing.com/images/search?form=xlimg&amp;q=Canad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Srd>
</file>

<file path=xl/richData/rdarray.xml><?xml version="1.0" encoding="utf-8"?>
<arrayData xmlns="http://schemas.microsoft.com/office/spreadsheetml/2017/richdata2" count="84">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2">
    <v t="r">126</v>
    <v t="r">127</v>
  </a>
  <a r="1">
    <v t="s">Portuguese language</v>
  </a>
  <a r="27">
    <v t="r">146</v>
    <v t="r">147</v>
    <v t="r">148</v>
    <v t="r">149</v>
    <v t="r">150</v>
    <v t="r">151</v>
    <v t="r">152</v>
    <v t="r">153</v>
    <v t="r">154</v>
    <v t="r">155</v>
    <v t="r">156</v>
    <v t="r">157</v>
    <v t="r">158</v>
    <v t="r">159</v>
    <v t="r">160</v>
    <v t="r">161</v>
    <v t="r">162</v>
    <v t="r">163</v>
    <v t="r">164</v>
    <v t="r">165</v>
    <v t="r">166</v>
    <v t="r">167</v>
    <v t="r">168</v>
    <v t="r">169</v>
    <v t="r">170</v>
    <v t="r">171</v>
    <v t="r">172</v>
  </a>
  <a r="2">
    <v t="r">199</v>
    <v t="r">200</v>
  </a>
  <a r="2">
    <v t="s">Canadian French</v>
    <v t="s">Canadian English</v>
  </a>
  <a r="13">
    <v t="r">219</v>
    <v t="r">220</v>
    <v t="r">221</v>
    <v t="r">222</v>
    <v t="r">223</v>
    <v t="r">224</v>
    <v t="r">225</v>
    <v t="r">226</v>
    <v t="r">227</v>
    <v t="r">228</v>
    <v t="r">229</v>
    <v t="r">230</v>
    <v t="r">231</v>
  </a>
  <a r="6">
    <v t="s">Newfoundland Time Zone</v>
    <v t="s">Atlantic Time Zone</v>
    <v t="s">Central Time Zone</v>
    <v t="s">Mountain Time Zone</v>
    <v t="s">Pacific Time Zone</v>
    <v t="s">Eastern Time Zone</v>
  </a>
  <a r="2">
    <v t="r">260</v>
    <v t="r">261</v>
  </a>
  <a r="3">
    <v t="s">Dutch language</v>
    <v t="s">German language</v>
    <v t="s">French language</v>
  </a>
  <a r="3">
    <v t="r">280</v>
    <v t="r">281</v>
    <v t="r">282</v>
  </a>
  <a r="1">
    <v t="r">309</v>
  </a>
  <a r="1">
    <v t="s">German language</v>
  </a>
  <a r="15">
    <v t="r">328</v>
    <v t="r">329</v>
    <v t="r">295</v>
    <v t="r">330</v>
    <v t="r">331</v>
    <v t="r">332</v>
    <v t="r">333</v>
    <v t="r">334</v>
    <v t="r">335</v>
    <v t="r">336</v>
    <v t="r">337</v>
    <v t="r">338</v>
    <v t="r">339</v>
    <v t="r">340</v>
    <v t="r">341</v>
  </a>
  <a r="1">
    <v t="s">Central European Time</v>
  </a>
  <a r="2">
    <v t="r">369</v>
    <v t="r">370</v>
  </a>
  <a r="2">
    <v t="s">Swedish language</v>
    <v t="s">Finnish language</v>
  </a>
  <a r="19">
    <v t="r">387</v>
    <v t="r">388</v>
    <v t="r">389</v>
    <v t="r">390</v>
    <v t="r">391</v>
    <v t="r">392</v>
    <v t="r">393</v>
    <v t="r">394</v>
    <v t="r">395</v>
    <v t="r">396</v>
    <v t="r">397</v>
    <v t="r">398</v>
    <v t="r">399</v>
    <v t="r">400</v>
    <v t="r">401</v>
    <v t="r">402</v>
    <v t="r">403</v>
    <v t="r">404</v>
    <v t="r">405</v>
  </a>
  <a r="2">
    <v t="r">430</v>
    <v t="r">431</v>
  </a>
  <a r="1">
    <v t="s">French language</v>
  </a>
  <a r="24">
    <v t="r">449</v>
    <v t="r">450</v>
    <v t="r">451</v>
    <v t="r">452</v>
    <v t="r">453</v>
    <v t="r">454</v>
    <v t="r">455</v>
    <v t="r">456</v>
    <v t="r">457</v>
    <v t="r">458</v>
    <v t="r">459</v>
    <v t="r">460</v>
    <v t="r">461</v>
    <v t="r">462</v>
    <v t="r">463</v>
    <v t="r">464</v>
    <v t="r">465</v>
    <v t="r">466</v>
    <v t="r">467</v>
    <v t="r">468</v>
    <v t="r">469</v>
    <v t="r">470</v>
    <v t="r">471</v>
    <v t="r">472</v>
  </a>
  <a r="3">
    <v t="r">498</v>
    <v t="r">499</v>
    <v t="r">500</v>
  </a>
  <a r="1">
    <v t="s">Hebrew language</v>
  </a>
  <a r="6">
    <v t="r">517</v>
    <v t="r">518</v>
    <v t="r">519</v>
    <v t="r">520</v>
    <v t="r">521</v>
    <v t="r">522</v>
  </a>
  <a r="2">
    <v t="r">549</v>
    <v t="r">550</v>
  </a>
  <a r="1">
    <v t="s">Italian language</v>
  </a>
  <a r="20">
    <v t="r">565</v>
    <v t="r">566</v>
    <v t="r">567</v>
    <v t="r">568</v>
    <v t="r">569</v>
    <v t="r">570</v>
    <v t="r">571</v>
    <v t="r">572</v>
    <v t="r">573</v>
    <v t="r">574</v>
    <v t="r">575</v>
    <v t="r">576</v>
    <v t="r">577</v>
    <v t="r">578</v>
    <v t="r">579</v>
    <v t="r">580</v>
    <v t="r">581</v>
    <v t="r">582</v>
    <v t="r">583</v>
    <v t="r">584</v>
  </a>
  <a r="1">
    <v t="r">610</v>
  </a>
  <a r="3">
    <v t="s">Luxembourgish</v>
    <v t="s">German language</v>
    <v t="s">French language</v>
  </a>
  <a r="12">
    <v t="r">625</v>
    <v t="r">626</v>
    <v t="r">627</v>
    <v t="r">628</v>
    <v t="r">629</v>
    <v t="r">630</v>
    <v t="r">631</v>
    <v t="r">632</v>
    <v t="r">633</v>
    <v t="r">634</v>
    <v t="r">635</v>
    <v t="r">636</v>
  </a>
  <a r="2">
    <v t="r">663</v>
    <v t="r">664</v>
  </a>
  <a r="1">
    <v t="s">Spanish language</v>
  </a>
  <a r="18">
    <v t="r">683</v>
    <v t="r">684</v>
    <v t="r">685</v>
    <v t="r">686</v>
    <v t="r">687</v>
    <v t="r">688</v>
    <v t="r">689</v>
    <v t="r">690</v>
    <v t="r">691</v>
    <v t="r">692</v>
    <v t="r">693</v>
    <v t="r">694</v>
    <v t="r">695</v>
    <v t="r">696</v>
    <v t="r">697</v>
    <v t="r">698</v>
    <v t="r">699</v>
    <v t="r">700</v>
  </a>
  <a r="2">
    <v t="r">727</v>
    <v t="r">728</v>
  </a>
  <a r="1">
    <v t="s">Swedish language</v>
  </a>
  <a r="21">
    <v t="r">744</v>
    <v t="r">745</v>
    <v t="r">746</v>
    <v t="r">747</v>
    <v t="r">748</v>
    <v t="r">749</v>
    <v t="r">750</v>
    <v t="r">751</v>
    <v t="r">752</v>
    <v t="r">753</v>
    <v t="r">754</v>
    <v t="r">755</v>
    <v t="r">756</v>
    <v t="r">757</v>
    <v t="r">758</v>
    <v t="r">759</v>
    <v t="r">760</v>
    <v t="r">761</v>
    <v t="r">762</v>
    <v t="r">763</v>
    <v t="r">764</v>
  </a>
  <a r="2">
    <v t="r">791</v>
    <v t="r">792</v>
  </a>
  <a r="1">
    <v t="s">Dutch language</v>
  </a>
  <a r="14">
    <v t="r">808</v>
    <v t="r">809</v>
    <v t="r">810</v>
    <v t="r">811</v>
    <v t="r">812</v>
    <v t="r">813</v>
    <v t="r">814</v>
    <v t="r">815</v>
    <v t="r">816</v>
    <v t="r">817</v>
    <v t="r">818</v>
    <v t="r">819</v>
    <v t="r">820</v>
    <v t="r">821</v>
  </a>
  <a r="1">
    <v t="s">Atlantic Time Zone</v>
  </a>
  <a r="2">
    <v t="r">850</v>
    <v t="r">851</v>
  </a>
  <a r="1">
    <v t="s">Modern Standard Arabic</v>
  </a>
  <a r="5">
    <v t="r">866</v>
    <v t="r">867</v>
    <v t="r">868</v>
    <v t="r">869</v>
    <v t="r">870</v>
  </a>
  <a r="2">
    <v t="r">199</v>
    <v t="r">897</v>
  </a>
  <a r="4">
    <v t="r">911</v>
    <v t="r">912</v>
    <v t="r">913</v>
    <v t="r">914</v>
  </a>
  <a r="2">
    <v t="s">Greenwich Mean Time</v>
    <v t="s">Western European Time</v>
  </a>
  <a r="2">
    <v t="r">199</v>
    <v t="r">942</v>
  </a>
  <a r="15">
    <v t="r">957</v>
    <v t="r">958</v>
    <v t="r">959</v>
    <v t="r">960</v>
    <v t="r">961</v>
    <v t="r">962</v>
    <v t="r">963</v>
    <v t="r">964</v>
    <v t="r">965</v>
    <v t="r">966</v>
    <v t="r">967</v>
    <v t="r">968</v>
    <v t="r">969</v>
    <v t="r">970</v>
    <v t="r">971</v>
  </a>
  <a r="4">
    <v t="r">999</v>
    <v t="r">1000</v>
    <v t="r">1001</v>
    <v t="r">1002</v>
  </a>
  <a r="2">
    <v t="s">Indian English</v>
    <v t="s">Hindi</v>
  </a>
  <a r="34">
    <v t="r">1020</v>
    <v t="r">1021</v>
    <v t="r">1022</v>
    <v t="r">1023</v>
    <v t="r">1024</v>
    <v t="r">1025</v>
    <v t="r">1026</v>
    <v t="r">1027</v>
    <v t="r">1028</v>
    <v t="r">1029</v>
    <v t="r">1030</v>
    <v t="r">1031</v>
    <v t="r">1032</v>
    <v t="r">1033</v>
    <v t="r">1034</v>
    <v t="r">1035</v>
    <v t="r">1036</v>
    <v t="r">1037</v>
    <v t="r">1038</v>
    <v t="r">1039</v>
    <v t="r">1040</v>
    <v t="r">1041</v>
    <v t="r">1042</v>
    <v t="r">1043</v>
    <v t="r">1044</v>
    <v t="r">1045</v>
    <v t="r">1046</v>
    <v t="r">1047</v>
    <v t="r">1048</v>
    <v t="r">1049</v>
    <v t="r">1050</v>
    <v t="r">1051</v>
    <v t="r">1052</v>
    <v t="r">1053</v>
  </a>
  <a r="1">
    <v t="s">Indian Standard Time</v>
  </a>
  <a r="4">
    <v t="r">1081</v>
    <v t="r">1082</v>
    <v t="r">1083</v>
    <v t="r">1084</v>
  </a>
  <a r="1">
    <v t="s">Indonesian language</v>
  </a>
  <a r="34">
    <v t="r">1101</v>
    <v t="r">1102</v>
    <v t="r">1103</v>
    <v t="r">1104</v>
    <v t="r">1105</v>
    <v t="r">1106</v>
    <v t="r">1107</v>
    <v t="r">1108</v>
    <v t="r">1109</v>
    <v t="r">1110</v>
    <v t="r">1111</v>
    <v t="r">1112</v>
    <v t="r">1113</v>
    <v t="r">1114</v>
    <v t="r">1115</v>
    <v t="r">1116</v>
    <v t="r">1117</v>
    <v t="r">1118</v>
    <v t="r">1119</v>
    <v t="r">1120</v>
    <v t="r">1121</v>
    <v t="r">1122</v>
    <v t="r">1123</v>
    <v t="r">1124</v>
    <v t="r">1125</v>
    <v t="r">1126</v>
    <v t="r">1127</v>
    <v t="r">1128</v>
    <v t="r">1129</v>
    <v t="r">1130</v>
    <v t="r">1131</v>
    <v t="r">1067</v>
    <v t="r">1132</v>
    <v t="r">1133</v>
  </a>
  <a r="2">
    <v t="s">Indonesia Western Standard Time</v>
    <v t="s">Indonesia Central Standard Time</v>
  </a>
  <a r="1">
    <v t="r">1161</v>
  </a>
  <a r="1">
    <v t="s">Japanese language</v>
  </a>
  <a r="46">
    <v t="r">1175</v>
    <v t="r">1176</v>
    <v t="r">1177</v>
    <v t="r">1178</v>
    <v t="r">1179</v>
    <v t="r">1180</v>
    <v t="r">1181</v>
    <v t="r">1182</v>
    <v t="r">1183</v>
    <v t="r">1184</v>
    <v t="r">1185</v>
    <v t="r">1186</v>
    <v t="r">1147</v>
    <v t="r">1187</v>
    <v t="r">1188</v>
    <v t="r">1189</v>
    <v t="r">1190</v>
    <v t="r">1191</v>
    <v t="r">1192</v>
    <v t="r">1193</v>
    <v t="r">1194</v>
    <v t="r">1195</v>
    <v t="r">1196</v>
    <v t="r">1197</v>
    <v t="r">1198</v>
    <v t="r">1199</v>
    <v t="r">1200</v>
    <v t="r">1201</v>
    <v t="r">1202</v>
    <v t="r">1203</v>
    <v t="r">1204</v>
    <v t="r">1205</v>
    <v t="r">1206</v>
    <v t="r">1207</v>
    <v t="r">1208</v>
    <v t="r">1209</v>
    <v t="r">1210</v>
    <v t="r">1211</v>
    <v t="r">1212</v>
    <v t="r">1213</v>
    <v t="r">1214</v>
    <v t="r">1215</v>
    <v t="r">1216</v>
    <v t="r">1217</v>
    <v t="r">1218</v>
    <v t="r">1219</v>
  </a>
  <a r="1">
    <v t="s">Japan Standard Time</v>
  </a>
  <a r="2">
    <v t="r">1247</v>
    <v t="r">1248</v>
  </a>
  <a r="1">
    <v t="s">Malaysian Malay</v>
  </a>
  <a r="16">
    <v t="r">1265</v>
    <v t="r">1266</v>
    <v t="r">1267</v>
    <v t="r">1268</v>
    <v t="r">1269</v>
    <v t="r">1270</v>
    <v t="r">1271</v>
    <v t="r">1272</v>
    <v t="r">1273</v>
    <v t="r">1274</v>
    <v t="r">1275</v>
    <v t="r">1276</v>
    <v t="r">1277</v>
    <v t="r">1233</v>
    <v t="r">1278</v>
    <v t="r">1279</v>
  </a>
  <a r="2">
    <v t="r">1306</v>
    <v t="r">1307</v>
  </a>
  <a r="4">
    <v t="s">Mandarin Chinese</v>
    <v t="s">Malay</v>
    <v t="s">English language</v>
    <v t="s">Tamil language</v>
  </a>
  <a r="1">
    <v t="s">Singapore Standard Time</v>
  </a>
  <a r="2">
    <v t="r">1342</v>
    <v t="r">1343</v>
  </a>
  <a r="1">
    <v t="s">Thai language</v>
  </a>
  <a r="76">
    <v t="r">1359</v>
    <v t="r">1360</v>
    <v t="r">1361</v>
    <v t="r">1362</v>
    <v t="r">1363</v>
    <v t="r">1364</v>
    <v t="r">1365</v>
    <v t="r">1366</v>
    <v t="r">1367</v>
    <v t="r">1368</v>
    <v t="r">1369</v>
    <v t="r">1370</v>
    <v t="r">1371</v>
    <v t="r">1372</v>
    <v t="r">1373</v>
    <v t="r">1374</v>
    <v t="r">1375</v>
    <v t="r">1376</v>
    <v t="r">1377</v>
    <v t="r">1378</v>
    <v t="r">1379</v>
    <v t="r">1380</v>
    <v t="r">1381</v>
    <v t="r">1382</v>
    <v t="r">1383</v>
    <v t="r">1384</v>
    <v t="r">1385</v>
    <v t="r">1386</v>
    <v t="r">1387</v>
    <v t="r">1388</v>
    <v t="r">1389</v>
    <v t="r">1390</v>
    <v t="r">1391</v>
    <v t="r">1392</v>
    <v t="r">1393</v>
    <v t="r">1394</v>
    <v t="r">1329</v>
    <v t="r">1395</v>
    <v t="r">1396</v>
    <v t="r">1397</v>
    <v t="r">1398</v>
    <v t="r">1399</v>
    <v t="r">1400</v>
    <v t="r">1401</v>
    <v t="r">1402</v>
    <v t="r">1403</v>
    <v t="r">1404</v>
    <v t="r">1405</v>
    <v t="r">1406</v>
    <v t="r">1407</v>
    <v t="r">1408</v>
    <v t="r">1409</v>
    <v t="r">1410</v>
    <v t="r">1411</v>
    <v t="r">1412</v>
    <v t="r">1413</v>
    <v t="r">1414</v>
    <v t="r">1415</v>
    <v t="r">1416</v>
    <v t="r">1417</v>
    <v t="r">1418</v>
    <v t="r">1419</v>
    <v t="r">1420</v>
    <v t="r">1421</v>
    <v t="r">1422</v>
    <v t="r">1423</v>
    <v t="r">1424</v>
    <v t="r">1425</v>
    <v t="r">1426</v>
    <v t="r">1427</v>
    <v t="r">1428</v>
    <v t="r">1429</v>
    <v t="r">1430</v>
    <v t="r">1431</v>
    <v t="r">1432</v>
    <v t="r">1433</v>
  </a>
  <a r="1">
    <v t="s">Asia/Bangkok</v>
  </a>
  <a r="3">
    <v t="r">1460</v>
    <v t="r">1461</v>
    <v t="r">1462</v>
  </a>
  <a r="1">
    <v t="s">Norwegian language</v>
  </a>
  <a r="14">
    <v t="r">1476</v>
    <v t="r">1447</v>
    <v t="r">1477</v>
    <v t="r">1478</v>
    <v t="r">1479</v>
    <v t="r">1480</v>
    <v t="r">1481</v>
    <v t="r">1482</v>
    <v t="r">1483</v>
    <v t="r">1484</v>
    <v t="r">1485</v>
    <v t="r">1486</v>
    <v t="r">1487</v>
    <v t="r">1488</v>
  </a>
  <a r="2">
    <v t="r">1515</v>
    <v t="r">1516</v>
  </a>
  <a r="1">
    <v t="s">Polish language</v>
  </a>
  <a r="16">
    <v t="r">1529</v>
    <v t="r">1530</v>
    <v t="r">1531</v>
    <v t="r">1532</v>
    <v t="r">1533</v>
    <v t="r">1534</v>
    <v t="r">1535</v>
    <v t="r">1536</v>
    <v t="r">1537</v>
    <v t="r">1538</v>
    <v t="r">1539</v>
    <v t="r">1540</v>
    <v t="r">1541</v>
    <v t="r">1542</v>
    <v t="r">1543</v>
    <v t="r">1544</v>
  </a>
  <a r="4">
    <v t="s">Central European Time</v>
    <v t="s">UTC+02:00</v>
    <v t="s">UTC+01:00</v>
    <v t="s">Central European Summer Time</v>
  </a>
  <a r="4">
    <v t="r">1573</v>
    <v t="r">1574</v>
    <v t="r">1575</v>
    <v t="r">1576</v>
  </a>
  <a r="2">
    <v t="s">Philippine English</v>
    <v t="s">Filipino language</v>
  </a>
  <a r="1">
    <v t="r">1594</v>
  </a>
  <a r="1">
    <v t="s">Philippine Standard Time</v>
  </a>
</arrayData>
</file>

<file path=xl/richData/rdrichvalue.xml><?xml version="1.0" encoding="utf-8"?>
<rvData xmlns="http://schemas.microsoft.com/office/spreadsheetml/2017/richdata" count="1602">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0</v>
    <v>21</v>
    <v>2</v>
    <v>7</v>
    <v>0</v>
    <v>Image of United States</v>
  </rv>
  <rv s="1">
    <fb>5.6</fb>
    <v>28</v>
  </rv>
  <rv s="0">
    <v>536870912</v>
    <v>New York City</v>
    <v>60d5dc2b-c915-460b-b722-c9e3485499ca</v>
    <v>en-US</v>
    <v>Map</v>
  </rv>
  <rv s="0">
    <v>805306368</v>
    <v>Joe Biden (President)</v>
    <v>cad484f9-be75-7a78-12dd-16233f823cd7</v>
    <v>en-US</v>
    <v>Generic</v>
  </rv>
  <rv s="0">
    <v>805306368</v>
    <v>Kamala Harris (Vice president)</v>
    <v>ef5cf66f-32b7-7271-286a-8e8313eda5c5</v>
    <v>en-US</v>
    <v>Generic</v>
  </rv>
  <rv s="0">
    <v>805306368</v>
    <v>Kevin McCarthy (Speaker)</v>
    <v>deb3b1b0-ed4c-206d-2f27-d94f7f833250</v>
    <v>en-US</v>
    <v>Generic</v>
  </rv>
  <rv s="0">
    <v>805306368</v>
    <v>John Roberts (Chief justice)</v>
    <v>af7f7f4b-fd5b-867d-e108-4b6ecf118076</v>
    <v>en-US</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331893745</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Carolina</v>
    <v>9e2bf053-dd80-4646-8f26-65075e7085c0</v>
    <v>en-US</v>
    <v>Map</v>
  </rv>
  <rv s="0">
    <v>536870912</v>
    <v>North Dakota</v>
    <v>77fbc744-3efe-4aa9-9e8e-f8034f06b941</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Carolina</v>
    <v>810015e8-b10b-4232-9e2c-de87a67bd26e</v>
    <v>en-US</v>
    <v>Map</v>
  </rv>
  <rv s="0">
    <v>536870912</v>
    <v>South Dakota</v>
    <v>9cee0b65-d357-479e-a066-31c634648f47</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Guam</v>
    <v>f842c067-b461-3084-6a3b-6c6c7431fc9a</v>
    <v>en-US</v>
    <v>Map</v>
  </rv>
  <rv s="0">
    <v>536870912</v>
    <v>Northern Mariana Islands</v>
    <v>f4475436-adda-9ff0-b5fe-6c3dff0e26be</v>
    <v>en-US</v>
    <v>Map</v>
  </rv>
  <rv s="0">
    <v>536870912</v>
    <v>Puerto Rico</v>
    <v>72752f4d-11d3-5470-b64e-b9e012b0520f</v>
    <v>en-US</v>
    <v>Map</v>
  </rv>
  <rv s="0">
    <v>536870912</v>
    <v>United States Virgin Islands</v>
    <v>38bd827b-bc00-140e-85be-46a96078429c</v>
    <v>en-US</v>
    <v>Map</v>
  </rv>
  <rv s="0">
    <v>536870912</v>
    <v>Alaska</v>
    <v>31c4c7a1-54e7-4306-ac9b-f1b02e85bda5</v>
    <v>en-US</v>
    <v>Map</v>
  </rv>
  <rv s="0">
    <v>536870912</v>
    <v>Arizona</v>
    <v>bf973f46-5962-4997-a7ba-a05f1aa2a9f9</v>
    <v>en-US</v>
    <v>Map</v>
  </rv>
  <rv s="0">
    <v>536870912</v>
    <v>Delaware</v>
    <v>8ad617cc-3d7a-4b3c-a787-098de959ccc4</v>
    <v>en-US</v>
    <v>Map</v>
  </rv>
  <rv s="3">
    <v>2</v>
  </rv>
  <rv s="1">
    <fb>9.5866513904898809E-2</fb>
    <v>23</v>
  </rv>
  <rv s="3">
    <v>3</v>
  </rv>
  <rv s="1">
    <fb>0.36599999999999999</fb>
    <v>23</v>
  </rv>
  <rv s="1">
    <fb>0.14699999999999999</fb>
    <v>31</v>
  </rv>
  <rv s="1">
    <fb>270663028</fb>
    <v>24</v>
  </rv>
  <rv s="5">
    <v>#VALUE!</v>
    <v>en-US</v>
    <v>5232ed96-85b1-2edb-12c6-63e6c597a1de</v>
    <v>536870912</v>
    <v>1</v>
    <v>16</v>
    <v>17</v>
    <v>United States</v>
    <v>19</v>
    <v>20</v>
    <v>Map</v>
    <v>21</v>
    <v>22</v>
    <v>US</v>
    <v>1</v>
    <v>2</v>
    <v>3</v>
    <v>4</v>
    <v>5</v>
    <v>6</v>
    <v>7</v>
    <v>8</v>
    <v>9</v>
    <v>USD</v>
    <v>The United States of America, commonly known as the United States or America, is a country primarily located in North America. It is a federation of 50 states, a federal capital district, and 326 Indian reservations. Outside the union of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1</v>
    <v>21</v>
    <v>33</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4</v>
  </rv>
  <rv s="4">
    <v>https://www.bing.com/search?q=brazil&amp;form=skydnc</v>
    <v>Learn more on Bing</v>
  </rv>
  <rv s="1">
    <fb>75.671999999999997</fb>
    <v>28</v>
  </rv>
  <rv s="1">
    <fb>1187361690000</fb>
    <v>30</v>
  </rv>
  <rv s="1">
    <fb>60</fb>
    <v>28</v>
  </rv>
  <rv s="1">
    <fb>1.53</fb>
    <v>29</v>
  </rv>
  <rv s="3">
    <v>5</v>
  </rv>
  <rv s="1">
    <fb>0.28289823089999999</fb>
    <v>23</v>
  </rv>
  <rv s="1">
    <fb>2.1499000000000001</fb>
    <v>25</v>
  </rv>
  <rv s="1">
    <fb>214326223</fb>
    <v>24</v>
  </rv>
  <rv s="1">
    <fb>0.192</fb>
    <v>23</v>
  </rv>
  <rv s="1">
    <fb>0.42499999999999999</fb>
    <v>23</v>
  </rv>
  <rv s="1">
    <fb>0.58399999999999996</fb>
    <v>23</v>
  </rv>
  <rv s="1">
    <fb>0.01</fb>
    <v>23</v>
  </rv>
  <rv s="1">
    <fb>3.1E-2</fb>
    <v>23</v>
  </rv>
  <rv s="1">
    <fb>7.2999999999999995E-2</fb>
    <v>23</v>
  </rv>
  <rv s="1">
    <fb>0.12</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6</v>
  </rv>
  <rv s="1">
    <fb>0.14178605589771201</fb>
    <v>23</v>
  </rv>
  <rv s="1">
    <fb>0.65099999999999991</fb>
    <v>23</v>
  </rv>
  <rv s="1">
    <fb>0.12083000183105501</fb>
    <v>31</v>
  </rv>
  <rv s="1">
    <fb>183241641</fb>
    <v>24</v>
  </rv>
  <rv s="6">
    <v>#VALUE!</v>
    <v>en-US</v>
    <v>a828cf41-b938-49fe-7986-4b336618d413</v>
    <v>536870912</v>
    <v>1</v>
    <v>36</v>
    <v>37</v>
    <v>Brazil</v>
    <v>19</v>
    <v>20</v>
    <v>Map</v>
    <v>21</v>
    <v>38</v>
    <v>BR</v>
    <v>106</v>
    <v>107</v>
    <v>108</v>
    <v>109</v>
    <v>110</v>
    <v>111</v>
    <v>112</v>
    <v>113</v>
    <v>114</v>
    <v>BRB</v>
    <v>Brazil, officially the Federative Republic of Brazil, is the largest and easternmost country in South America and in Latin America. Brazil is the world's fifth-largest country by area and the seventh most populous. Its capital is Brasília, and ...</v>
    <v>115</v>
    <v>116</v>
    <v>117</v>
    <v>118</v>
    <v>119</v>
    <v>120</v>
    <v>121</v>
    <v>122</v>
    <v>123</v>
    <v>124</v>
    <v>125</v>
    <v>128</v>
    <v>129</v>
    <v>130</v>
    <v>131</v>
    <v>132</v>
    <v>133</v>
    <v>Brazil</v>
    <v>Brazilian National Anthem</v>
    <v>134</v>
    <v>República Federativa do Brasil</v>
    <v>135</v>
    <v>136</v>
    <v>137</v>
    <v>138</v>
    <v>139</v>
    <v>140</v>
    <v>141</v>
    <v>142</v>
    <v>143</v>
    <v>144</v>
    <v>145</v>
    <v>173</v>
    <v>174</v>
    <v>175</v>
    <v>176</v>
    <v>Brazil</v>
    <v>177</v>
    <v>mdp/vdpid/32</v>
  </rv>
  <rv s="0">
    <v>536870912</v>
    <v>Canada</v>
    <v>370ed614-32e1-4326-a356-dc0a7dd56aaa</v>
    <v>en-US</v>
    <v>Map</v>
  </rv>
  <rv s="1">
    <fb>6.8918382450780802E-2</fb>
    <v>23</v>
  </rv>
  <rv s="1">
    <fb>9984670</fb>
    <v>24</v>
  </rv>
  <rv s="1">
    <fb>72000</fb>
    <v>24</v>
  </rv>
  <rv s="1">
    <fb>10.1</fb>
    <v>25</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2</v>
    <v>21</v>
    <v>40</v>
    <v>7</v>
    <v>0</v>
    <v>Image of Canada</v>
  </rv>
  <rv s="1">
    <fb>4.3</fb>
    <v>28</v>
  </rv>
  <rv s="0">
    <v>536870912</v>
    <v>Toronto</v>
    <v>e9c1d78f-effd-4cbf-af56-ce709763b200</v>
    <v>en-US</v>
    <v>Map</v>
  </rv>
  <rv s="0">
    <v>805306368</v>
    <v>Charles III (Monarch)</v>
    <v>afc6f6a9-5b55-9178-3e6f-2c8b6d16ee9c</v>
    <v>en-US</v>
    <v>Generic</v>
  </rv>
  <rv s="0">
    <v>805306368</v>
    <v>Justin Trudeau (Prime minister)</v>
    <v>d37aba31-28d1-b943-f0c6-dbddeb460528</v>
    <v>en-US</v>
    <v>Generic</v>
  </rv>
  <rv s="3">
    <v>7</v>
  </rv>
  <rv s="4">
    <v>https://www.bing.com/search?q=canada+country&amp;form=skydnc</v>
    <v>Learn more on Bing</v>
  </rv>
  <rv s="1">
    <fb>81.948780487804896</fb>
    <v>28</v>
  </rv>
  <rv s="1">
    <fb>1937902710000</fb>
    <v>30</v>
  </rv>
  <rv s="1">
    <fb>10</fb>
    <v>28</v>
  </rv>
  <rv s="1">
    <fb>9.51</fb>
    <v>29</v>
  </rv>
  <rv s="3">
    <v>8</v>
  </rv>
  <rv s="1">
    <fb>0.1458492763</fb>
    <v>23</v>
  </rv>
  <rv s="1">
    <fb>2.6101999999999999</fb>
    <v>25</v>
  </rv>
  <rv s="1">
    <fb>38246108</fb>
    <v>24</v>
  </rv>
  <rv s="1">
    <fb>0.23300000000000001</fb>
    <v>23</v>
  </rv>
  <rv s="1">
    <fb>0.251</fb>
    <v>23</v>
  </rv>
  <rv s="1">
    <fb>0.40600000000000003</fb>
    <v>23</v>
  </rv>
  <rv s="1">
    <fb>2.4E-2</fb>
    <v>23</v>
  </rv>
  <rv s="1">
    <fb>6.7000000000000004E-2</fb>
    <v>23</v>
  </rv>
  <rv s="1">
    <fb>0.124</fb>
    <v>23</v>
  </rv>
  <rv s="1">
    <fb>0.17</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9</v>
  </rv>
  <rv s="1">
    <fb>0.12844017475747799</fb>
    <v>23</v>
  </rv>
  <rv s="3">
    <v>10</v>
  </rv>
  <rv s="1">
    <fb>0.245</fb>
    <v>23</v>
  </rv>
  <rv s="1">
    <fb>5.5640001296997095E-2</fb>
    <v>31</v>
  </rv>
  <rv s="1">
    <fb>30628482</fb>
    <v>24</v>
  </rv>
  <rv s="5">
    <v>#VALUE!</v>
    <v>en-US</v>
    <v>370ed614-32e1-4326-a356-dc0a7dd56aaa</v>
    <v>536870912</v>
    <v>1</v>
    <v>43</v>
    <v>17</v>
    <v>Canada</v>
    <v>19</v>
    <v>20</v>
    <v>Map</v>
    <v>21</v>
    <v>44</v>
    <v>CA</v>
    <v>180</v>
    <v>181</v>
    <v>182</v>
    <v>183</v>
    <v>5</v>
    <v>184</v>
    <v>185</v>
    <v>186</v>
    <v>187</v>
    <v>CAD</v>
    <v>Canada is a country in North America. Its ten provinces and three territories extend from the Atlantic Ocean to the Pacific Ocean and northward into the Arctic Ocean, making it the world's second-largest country by total area, with the world's ...</v>
    <v>188</v>
    <v>189</v>
    <v>190</v>
    <v>191</v>
    <v>192</v>
    <v>193</v>
    <v>194</v>
    <v>195</v>
    <v>196</v>
    <v>197</v>
    <v>198</v>
    <v>201</v>
    <v>202</v>
    <v>203</v>
    <v>204</v>
    <v>205</v>
    <v>206</v>
    <v>Canada</v>
    <v>O Canada</v>
    <v>207</v>
    <v>Canada</v>
    <v>208</v>
    <v>209</v>
    <v>210</v>
    <v>211</v>
    <v>212</v>
    <v>213</v>
    <v>214</v>
    <v>215</v>
    <v>216</v>
    <v>217</v>
    <v>218</v>
    <v>232</v>
    <v>233</v>
    <v>234</v>
    <v>235</v>
    <v>236</v>
    <v>Canada</v>
    <v>237</v>
    <v>mdp/vdpid/39</v>
  </rv>
  <rv s="0">
    <v>536870912</v>
    <v>Belgium</v>
    <v>ac5bcc34-e1cd-2e76-9d31-fb1be1159a5e</v>
    <v>en-US</v>
    <v>Map</v>
  </rv>
  <rv s="1">
    <fb>0.44610305443465298</fb>
    <v>23</v>
  </rv>
  <rv s="1">
    <fb>30688</fb>
    <v>24</v>
  </rv>
  <rv s="1">
    <fb>32000</fb>
    <v>24</v>
  </rv>
  <rv s="1">
    <fb>10.3</fb>
    <v>25</v>
  </rv>
  <rv s="1">
    <fb>32</fb>
    <v>26</v>
  </rv>
  <rv s="0">
    <v>536870912</v>
    <v>Brussels</v>
    <v>95e13b04-adba-5f35-d2c5-f828990ca1fd</v>
    <v>en-US</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3</v>
    <v>21</v>
    <v>46</v>
    <v>7</v>
    <v>0</v>
    <v>Image of Belgium</v>
  </rv>
  <rv s="1">
    <fb>2.9</fb>
    <v>28</v>
  </rv>
  <rv s="0">
    <v>536870912</v>
    <v>Antwerp</v>
    <v>f4f8ed05-34c5-5e62-51e0-b59ae08f8127</v>
    <v>en-US</v>
    <v>Map</v>
  </rv>
  <rv s="0">
    <v>805306368</v>
    <v>Philippe I of Belgium (Monarch)</v>
    <v>a665fab7-fb7f-7057-7ae8-bfd895ec6e4d</v>
    <v>en-US</v>
    <v>Generic</v>
  </rv>
  <rv s="0">
    <v>805306368</v>
    <v>Alexander De Croo (Prime minister)</v>
    <v>c1428e90-a850-b761-4372-6e7c0b893486</v>
    <v>en-US</v>
    <v>Generic</v>
  </rv>
  <rv s="3">
    <v>11</v>
  </rv>
  <rv s="4">
    <v>https://www.bing.com/search?q=belgium&amp;form=skydnc</v>
    <v>Learn more on Bing</v>
  </rv>
  <rv s="1">
    <fb>81.595121951219497</fb>
    <v>28</v>
  </rv>
  <rv s="1">
    <fb>321093542983.70203</fb>
    <v>30</v>
  </rv>
  <rv s="1">
    <fb>5</fb>
    <v>28</v>
  </rv>
  <rv s="1">
    <fb>10.31</fb>
    <v>29</v>
  </rv>
  <rv s="3">
    <v>12</v>
  </rv>
  <rv s="1">
    <fb>0.17567192210000002</fb>
    <v>23</v>
  </rv>
  <rv s="1">
    <fb>3.0709</fb>
    <v>25</v>
  </rv>
  <rv s="1">
    <fb>11592952</fb>
    <v>24</v>
  </rv>
  <rv s="1">
    <fb>0.22699999999999998</fb>
    <v>23</v>
  </rv>
  <rv s="1">
    <fb>0.21899999999999997</fb>
    <v>23</v>
  </rv>
  <rv s="1">
    <fb>0.36299999999999999</fb>
    <v>23</v>
  </rv>
  <rv s="1">
    <fb>3.3000000000000002E-2</fb>
    <v>23</v>
  </rv>
  <rv s="1">
    <fb>8.6999999999999994E-2</fb>
    <v>23</v>
  </rv>
  <rv s="1">
    <fb>0.14199999999999999</fb>
    <v>23</v>
  </rv>
  <rv s="1">
    <fb>0.18100000000000002</fb>
    <v>23</v>
  </rv>
  <rv s="1">
    <fb>0.53562000274658206</fb>
    <v>23</v>
  </rv>
  <rv s="0">
    <v>536870912</v>
    <v>Flemish Region</v>
    <v>f250b992-acb5-d7d5-db4f-47fb684176fd</v>
    <v>en-US</v>
    <v>Map</v>
  </rv>
  <rv s="0">
    <v>536870912</v>
    <v>Brussels</v>
    <v>f77206fd-fe4f-6c8e-5588-1d0651b151ea</v>
    <v>en-US</v>
    <v>Map</v>
  </rv>
  <rv s="0">
    <v>536870912</v>
    <v>Wallonia</v>
    <v>077dc74d-75df-1a0d-c05f-5dc9a9747925</v>
    <v>en-US</v>
    <v>Map</v>
  </rv>
  <rv s="3">
    <v>13</v>
  </rv>
  <rv s="1">
    <fb>0.23994106172459101</fb>
    <v>23</v>
  </rv>
  <rv s="1">
    <fb>0.55399999999999994</fb>
    <v>23</v>
  </rv>
  <rv s="1">
    <fb>5.5890002250671394E-2</fb>
    <v>31</v>
  </rv>
  <rv s="1">
    <fb>11259082</fb>
    <v>24</v>
  </rv>
  <rv s="6">
    <v>#VALUE!</v>
    <v>en-US</v>
    <v>ac5bcc34-e1cd-2e76-9d31-fb1be1159a5e</v>
    <v>536870912</v>
    <v>1</v>
    <v>49</v>
    <v>37</v>
    <v>Belgium</v>
    <v>19</v>
    <v>20</v>
    <v>Map</v>
    <v>21</v>
    <v>50</v>
    <v>BE</v>
    <v>240</v>
    <v>241</v>
    <v>242</v>
    <v>243</v>
    <v>244</v>
    <v>245</v>
    <v>246</v>
    <v>247</v>
    <v>248</v>
    <v>BEF</v>
    <v>Belgium, officially the Kingdom of Belgium, is a country in Northwestern Europe. The country is bordered by the Netherlands to the north, Germany to the east, Luxembourg to the southeast, France to the south, and the North Sea to the west. It ...</v>
    <v>249</v>
    <v>250</v>
    <v>251</v>
    <v>252</v>
    <v>253</v>
    <v>254</v>
    <v>255</v>
    <v>256</v>
    <v>257</v>
    <v>258</v>
    <v>259</v>
    <v>262</v>
    <v>263</v>
    <v>264</v>
    <v>265</v>
    <v>266</v>
    <v>267</v>
    <v>Belgium</v>
    <v>La Brabançonne</v>
    <v>268</v>
    <v>Königreich Belgien</v>
    <v>269</v>
    <v>270</v>
    <v>271</v>
    <v>272</v>
    <v>273</v>
    <v>274</v>
    <v>275</v>
    <v>276</v>
    <v>277</v>
    <v>278</v>
    <v>279</v>
    <v>283</v>
    <v>284</v>
    <v>285</v>
    <v>286</v>
    <v>Belgium</v>
    <v>287</v>
    <v>mdp/vdpid/21</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1.39</fb>
    <v>29</v>
  </rv>
  <rv s="1">
    <fb>3845630030823.52</fb>
    <v>30</v>
  </rv>
  <rv s="1">
    <fb>1.0402236</fb>
    <v>23</v>
  </rv>
  <rv s="1">
    <fb>0.70246649999999999</fb>
    <v>23</v>
  </rv>
  <rv s="2">
    <v>4</v>
    <v>21</v>
    <v>52</v>
    <v>7</v>
    <v>0</v>
    <v>Image of Germany</v>
  </rv>
  <rv s="1">
    <fb>3.1</fb>
    <v>28</v>
  </rv>
  <rv s="0">
    <v>805306368</v>
    <v>Frank-Walter Steinmeier (President)</v>
    <v>a6d595f9-116c-57de-2b35-48e9bde9f83d</v>
    <v>en-US</v>
    <v>Generic</v>
  </rv>
  <rv s="3">
    <v>14</v>
  </rv>
  <rv s="4">
    <v>https://www.bing.com/search?q=germany&amp;form=skydnc</v>
    <v>Learn more on Bing</v>
  </rv>
  <rv s="1">
    <fb>80.892682926829295</fb>
    <v>28</v>
  </rv>
  <rv s="1">
    <fb>2098173930000</fb>
    <v>30</v>
  </rv>
  <rv s="1">
    <fb>7</fb>
    <v>28</v>
  </rv>
  <rv s="1">
    <fb>9.99</fb>
    <v>29</v>
  </rv>
  <rv s="3">
    <v>15</v>
  </rv>
  <rv s="1">
    <fb>0.12528421940000001</fb>
    <v>23</v>
  </rv>
  <rv s="1">
    <fb>4.2488000000000001</fb>
    <v>25</v>
  </rv>
  <rv s="1">
    <fb>83149300</fb>
    <v>24</v>
  </rv>
  <rv s="1">
    <fb>0.22800000000000001</fb>
    <v>23</v>
  </rv>
  <rv s="1">
    <fb>0.24600000000000002</fb>
    <v>23</v>
  </rv>
  <rv s="1">
    <fb>0.39600000000000002</fb>
    <v>23</v>
  </rv>
  <rv s="1">
    <fb>2.8999999999999998E-2</fb>
    <v>23</v>
  </rv>
  <rv s="1">
    <fb>7.5999999999999998E-2</fb>
    <v>23</v>
  </rv>
  <rv s="1">
    <fb>0.128</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16</v>
  </rv>
  <rv s="1">
    <fb>0.11505903952014901</fb>
    <v>23</v>
  </rv>
  <rv s="3">
    <v>17</v>
  </rv>
  <rv s="1">
    <fb>0.48799999999999999</fb>
    <v>23</v>
  </rv>
  <rv s="1">
    <fb>3.0429999828338602E-2</fb>
    <v>31</v>
  </rv>
  <rv s="1">
    <fb>64324835</fb>
    <v>24</v>
  </rv>
  <rv s="5">
    <v>#VALUE!</v>
    <v>en-US</v>
    <v>75c62d8e-1449-4e4d-b188-d9e88f878dd9</v>
    <v>536870912</v>
    <v>1</v>
    <v>55</v>
    <v>17</v>
    <v>Germany</v>
    <v>19</v>
    <v>20</v>
    <v>Map</v>
    <v>21</v>
    <v>56</v>
    <v>DE</v>
    <v>290</v>
    <v>291</v>
    <v>292</v>
    <v>293</v>
    <v>294</v>
    <v>295</v>
    <v>296</v>
    <v>297</v>
    <v>298</v>
    <v>DEM</v>
    <v>Germany, officially the Federal Republic of Germany, is a country in Central Europe. It is the most populous member state of the European Union. Germany lies between the Baltic and North Sea to the north and the Alps to the south. Its 16 ...</v>
    <v>299</v>
    <v>300</v>
    <v>301</v>
    <v>302</v>
    <v>303</v>
    <v>304</v>
    <v>305</v>
    <v>306</v>
    <v>307</v>
    <v>308</v>
    <v>295</v>
    <v>310</v>
    <v>311</v>
    <v>312</v>
    <v>313</v>
    <v>314</v>
    <v>315</v>
    <v>Germany</v>
    <v>National Anthem of Germany</v>
    <v>316</v>
    <v>Bundesrepublik Deutschland</v>
    <v>317</v>
    <v>318</v>
    <v>319</v>
    <v>320</v>
    <v>321</v>
    <v>322</v>
    <v>323</v>
    <v>324</v>
    <v>325</v>
    <v>326</v>
    <v>327</v>
    <v>342</v>
    <v>343</v>
    <v>344</v>
    <v>345</v>
    <v>346</v>
    <v>Germany</v>
    <v>347</v>
    <v>mdp/vdpid/94</v>
  </rv>
  <rv s="0">
    <v>536870912</v>
    <v>Finland</v>
    <v>ceea53a9-734c-46c7-a9f7-185e7cf6826e</v>
    <v>en-US</v>
    <v>Map</v>
  </rv>
  <rv s="1">
    <fb>7.4857688131354697E-2</fb>
    <v>23</v>
  </rv>
  <rv s="1">
    <fb>303963.28000000003</fb>
    <v>24</v>
  </rv>
  <rv s="1">
    <fb>25000</fb>
    <v>24</v>
  </rv>
  <rv s="1">
    <fb>8.6</fb>
    <v>25</v>
  </rv>
  <rv s="1">
    <fb>358</fb>
    <v>26</v>
  </rv>
  <rv s="0">
    <v>536870912</v>
    <v>Helsinki</v>
    <v>0aeca411-32eb-87fa-e67f-5c3dacc3532c</v>
    <v>en-US</v>
    <v>Map</v>
  </rv>
  <rv s="1">
    <fb>45870.502999999997</fb>
    <v>24</v>
  </rv>
  <rv s="1">
    <fb>112.331712088838</fb>
    <v>27</v>
  </rv>
  <rv s="1">
    <fb>1.0240939296342899E-2</fb>
    <v>23</v>
  </rv>
  <rv s="1">
    <fb>15249.989380230199</fb>
    <v>24</v>
  </rv>
  <rv s="1">
    <fb>1.41</fb>
    <v>25</v>
  </rv>
  <rv s="1">
    <fb>0.7310716988582151</fb>
    <v>23</v>
  </rv>
  <rv s="1">
    <fb>40.207982989952903</fb>
    <v>28</v>
  </rv>
  <rv s="1">
    <fb>1.45</fb>
    <v>29</v>
  </rv>
  <rv s="1">
    <fb>268761201364.70499</fb>
    <v>30</v>
  </rv>
  <rv s="1">
    <fb>1.0015464000000001</fb>
    <v>23</v>
  </rv>
  <rv s="1">
    <fb>0.88197829999999999</fb>
    <v>23</v>
  </rv>
  <rv s="2">
    <v>5</v>
    <v>21</v>
    <v>58</v>
    <v>7</v>
    <v>0</v>
    <v>Image of Finland</v>
  </rv>
  <rv s="1">
    <fb>1.4</fb>
    <v>28</v>
  </rv>
  <rv s="0">
    <v>805306368</v>
    <v>Sauli Niinistö (President)</v>
    <v>dfa3cf27-7df7-88a9-8b9c-02e10c3ab58a</v>
    <v>en-US</v>
    <v>Generic</v>
  </rv>
  <rv s="0">
    <v>805306368</v>
    <v>Petteri Orpo (Prime minister)</v>
    <v>f89fd370-e67c-1205-35bf-ef0bc79a5a2e</v>
    <v>en-US</v>
    <v>Generic</v>
  </rv>
  <rv s="3">
    <v>18</v>
  </rv>
  <rv s="4">
    <v>https://www.bing.com/search?q=finland&amp;form=skydnc</v>
    <v>Learn more on Bing</v>
  </rv>
  <rv s="1">
    <fb>81.734146341463401</fb>
    <v>28</v>
  </rv>
  <rv s="1">
    <fb>183765380000</fb>
    <v>30</v>
  </rv>
  <rv s="1">
    <fb>3</fb>
    <v>28</v>
  </rv>
  <rv s="3">
    <v>19</v>
  </rv>
  <rv s="1">
    <fb>0.19890897120000001</fb>
    <v>23</v>
  </rv>
  <rv s="1">
    <fb>3.8079999999999998</fb>
    <v>25</v>
  </rv>
  <rv s="1">
    <fb>5541017</fb>
    <v>24</v>
  </rv>
  <rv s="1">
    <fb>0.223</fb>
    <v>23</v>
  </rv>
  <rv s="1">
    <fb>0.36899999999999999</fb>
    <v>23</v>
  </rv>
  <rv s="1">
    <fb>3.7999999999999999E-2</fb>
    <v>23</v>
  </rv>
  <rv s="1">
    <fb>9.4E-2</fb>
    <v>23</v>
  </rv>
  <rv s="1">
    <fb>0.14000000000000001</fb>
    <v>23</v>
  </rv>
  <rv s="1">
    <fb>0.17399999999999999</fb>
    <v>23</v>
  </rv>
  <rv s="1">
    <fb>0.59081001281738299</fb>
    <v>23</v>
  </rv>
  <rv s="0">
    <v>536870912</v>
    <v>Finland Proper</v>
    <v>36f656ca-0603-8487-ecd9-ad449dcc8d00</v>
    <v>en-US</v>
    <v>Map</v>
  </rv>
  <rv s="0">
    <v>536870912</v>
    <v>Uusimaa</v>
    <v>aeb26ea9-2089-3324-80d3-641f3baa97bc</v>
    <v>en-US</v>
    <v>Map</v>
  </rv>
  <rv s="0">
    <v>536870912</v>
    <v>Satakunta</v>
    <v>62dab655-b1ff-c539-4d43-b29a865d202d</v>
    <v>en-US</v>
    <v>Map</v>
  </rv>
  <rv s="0">
    <v>536870912</v>
    <v>Päijänne Tavastia</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20</v>
  </rv>
  <rv s="1">
    <fb>0.20839038093492801</fb>
    <v>23</v>
  </rv>
  <rv s="1">
    <fb>6.594999790191651E-2</fb>
    <v>31</v>
  </rv>
  <rv s="1">
    <fb>4716888</fb>
    <v>24</v>
  </rv>
  <rv s="7">
    <v>#VALUE!</v>
    <v>en-US</v>
    <v>ceea53a9-734c-46c7-a9f7-185e7cf6826e</v>
    <v>536870912</v>
    <v>1</v>
    <v>61</v>
    <v>62</v>
    <v>Finland</v>
    <v>19</v>
    <v>20</v>
    <v>Map</v>
    <v>21</v>
    <v>63</v>
    <v>FI</v>
    <v>350</v>
    <v>351</v>
    <v>352</v>
    <v>353</v>
    <v>354</v>
    <v>355</v>
    <v>356</v>
    <v>357</v>
    <v>358</v>
    <v>EUR</v>
    <v>Finland, officially the Republic of Finland, is a Nordic country in Northern Europe. It borders Sweden to the northwest, Norway to the north, and Russia to the east, with the Gulf of Bothnia to the west and the Gulf of Finland to the south, ...</v>
    <v>359</v>
    <v>360</v>
    <v>361</v>
    <v>362</v>
    <v>363</v>
    <v>364</v>
    <v>365</v>
    <v>366</v>
    <v>367</v>
    <v>368</v>
    <v>355</v>
    <v>371</v>
    <v>372</v>
    <v>373</v>
    <v>374</v>
    <v>375</v>
    <v>Finland</v>
    <v>Maamme</v>
    <v>376</v>
    <v>Lääʹddjânnam</v>
    <v>377</v>
    <v>378</v>
    <v>379</v>
    <v>380</v>
    <v>35</v>
    <v>381</v>
    <v>382</v>
    <v>383</v>
    <v>384</v>
    <v>385</v>
    <v>386</v>
    <v>406</v>
    <v>407</v>
    <v>101</v>
    <v>408</v>
    <v>Finland</v>
    <v>409</v>
    <v>mdp/vdpid/77</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2715518274227.4502</fb>
    <v>30</v>
  </rv>
  <rv s="1">
    <fb>1.0251076000000001</fb>
    <v>23</v>
  </rv>
  <rv s="1">
    <fb>0.65629000000000004</fb>
    <v>23</v>
  </rv>
  <rv s="2">
    <v>6</v>
    <v>21</v>
    <v>65</v>
    <v>7</v>
    <v>0</v>
    <v>Image of France</v>
  </rv>
  <rv s="1">
    <fb>3.4</fb>
    <v>28</v>
  </rv>
  <rv s="0">
    <v>805306368</v>
    <v>Emmanuel Macron (President)</v>
    <v>35be5a56-7a78-6352-b158-60da8f84c858</v>
    <v>en-US</v>
    <v>Generic</v>
  </rv>
  <rv s="0">
    <v>805306368</v>
    <v>Élisabeth Borne (Prime minister)</v>
    <v>c29b2cc1-1c10-86a9-30a2-9ab14a3d6e89</v>
    <v>en-US</v>
    <v>Generic</v>
  </rv>
  <rv s="3">
    <v>21</v>
  </rv>
  <rv s="4">
    <v>https://www.bing.com/search?q=france&amp;form=skydnc</v>
    <v>Learn more on Bing</v>
  </rv>
  <rv s="1">
    <fb>82.526829268292701</fb>
    <v>28</v>
  </rv>
  <rv s="1">
    <fb>2365950236659.3599</fb>
    <v>30</v>
  </rv>
  <rv s="1">
    <fb>8</fb>
    <v>28</v>
  </rv>
  <rv s="1">
    <fb>11.16</fb>
    <v>29</v>
  </rv>
  <rv s="3">
    <v>22</v>
  </rv>
  <rv s="1">
    <fb>6.7968269799999995E-2</fb>
    <v>23</v>
  </rv>
  <rv s="1">
    <fb>3.2671999999999999</fb>
    <v>25</v>
  </rv>
  <rv s="1">
    <fb>67749632</fb>
    <v>24</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New 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23</v>
  </rv>
  <rv s="1">
    <fb>0.24229980509910898</fb>
    <v>23</v>
  </rv>
  <rv s="1">
    <fb>0.60699999999999998</fb>
    <v>23</v>
  </rv>
  <rv s="1">
    <fb>8.4270000457763714E-2</fb>
    <v>31</v>
  </rv>
  <rv s="1">
    <fb>54123364</fb>
    <v>24</v>
  </rv>
  <rv s="5">
    <v>#VALUE!</v>
    <v>en-US</v>
    <v>c7bfe2de-4f82-e23c-ae42-8544b5b5c0ea</v>
    <v>536870912</v>
    <v>1</v>
    <v>68</v>
    <v>17</v>
    <v>France</v>
    <v>19</v>
    <v>20</v>
    <v>Map</v>
    <v>21</v>
    <v>69</v>
    <v>FR</v>
    <v>412</v>
    <v>413</v>
    <v>414</v>
    <v>415</v>
    <v>416</v>
    <v>417</v>
    <v>418</v>
    <v>419</v>
    <v>420</v>
    <v>EUR</v>
    <v>France, officially the French Republic, is a country located primarily in Western Europe. It also includes overseas regions and territories in the Americas and the Atlantic, Pacific, and Indian Oceans, giving it one of the largest discontiguous ...</v>
    <v>421</v>
    <v>422</v>
    <v>423</v>
    <v>424</v>
    <v>303</v>
    <v>425</v>
    <v>426</v>
    <v>427</v>
    <v>428</v>
    <v>429</v>
    <v>417</v>
    <v>432</v>
    <v>433</v>
    <v>434</v>
    <v>435</v>
    <v>436</v>
    <v>437</v>
    <v>France</v>
    <v>La Marseillaise</v>
    <v>438</v>
    <v>République française</v>
    <v>439</v>
    <v>440</v>
    <v>441</v>
    <v>273</v>
    <v>442</v>
    <v>443</v>
    <v>444</v>
    <v>445</v>
    <v>446</v>
    <v>447</v>
    <v>448</v>
    <v>473</v>
    <v>474</v>
    <v>344</v>
    <v>475</v>
    <v>476</v>
    <v>France</v>
    <v>477</v>
    <v>mdp/vdpid/84</v>
  </rv>
  <rv s="0">
    <v>536870912</v>
    <v>Israel</v>
    <v>1ffafed3-2b37-b871-c271-aa855d98449a</v>
    <v>en-US</v>
    <v>Map</v>
  </rv>
  <rv s="1">
    <fb>0.24584103512014799</fb>
    <v>23</v>
  </rv>
  <rv s="1">
    <fb>20770</fb>
    <v>24</v>
  </rv>
  <rv s="1">
    <fb>178000</fb>
    <v>24</v>
  </rv>
  <rv s="1">
    <fb>20.8</fb>
    <v>25</v>
  </rv>
  <rv s="1">
    <fb>972</fb>
    <v>26</v>
  </rv>
  <rv s="0">
    <v>536870912</v>
    <v>Jerusalem</v>
    <v>f723d141-8609-b204-3b1d-30bfcbfb9dcb</v>
    <v>en-US</v>
    <v>Map</v>
  </rv>
  <rv s="1">
    <fb>65166.256999999998</fb>
    <v>24</v>
  </rv>
  <rv s="1">
    <fb>108.150134048257</fb>
    <v>27</v>
  </rv>
  <rv s="1">
    <fb>8.4159653362219401E-3</fb>
    <v>23</v>
  </rv>
  <rv s="1">
    <fb>6600.8982801222</fb>
    <v>24</v>
  </rv>
  <rv s="1">
    <fb>3.09</fb>
    <v>25</v>
  </rv>
  <rv s="1">
    <fb>7.7264323913235705E-2</fb>
    <v>23</v>
  </rv>
  <rv s="1">
    <fb>97.382124126026198</fb>
    <v>28</v>
  </rv>
  <rv s="1">
    <fb>1.57</fb>
    <v>29</v>
  </rv>
  <rv s="1">
    <fb>395098666121.61603</fb>
    <v>30</v>
  </rv>
  <rv s="1">
    <fb>1.0490112</fb>
    <v>23</v>
  </rv>
  <rv s="1">
    <fb>0.63354690000000002</fb>
    <v>23</v>
  </rv>
  <rv s="2">
    <v>7</v>
    <v>21</v>
    <v>71</v>
    <v>7</v>
    <v>0</v>
    <v>Image of Israel</v>
  </rv>
  <rv s="0">
    <v>805306368</v>
    <v>Isaac Herzog (President)</v>
    <v>6ec2eb61-c901-7fbe-05ae-d176e780a498</v>
    <v>en-US</v>
    <v>Generic</v>
  </rv>
  <rv s="0">
    <v>805306368</v>
    <v>Benjamin Netanyahu (Prime minister)</v>
    <v>7ce1e366-2545-8063-de37-56de6515eb11</v>
    <v>en-US</v>
    <v>Generic</v>
  </rv>
  <rv s="0">
    <v>805306368</v>
    <v>Esther Hayut (Chief justice)</v>
    <v>a368df50-d730-8133-4b79-5c7be0d23e67</v>
    <v>en-US</v>
    <v>Generic</v>
  </rv>
  <rv s="3">
    <v>24</v>
  </rv>
  <rv s="4">
    <v>https://www.bing.com/search?q=israel&amp;form=skydnc</v>
    <v>Learn more on Bing</v>
  </rv>
  <rv s="1">
    <fb>82.802439024390296</fb>
    <v>28</v>
  </rv>
  <rv s="1">
    <fb>237371160000</fb>
    <v>30</v>
  </rv>
  <rv s="1">
    <fb>7.58</fb>
    <v>29</v>
  </rv>
  <rv s="3">
    <v>25</v>
  </rv>
  <rv s="1">
    <fb>0.24369154550000002</fb>
    <v>23</v>
  </rv>
  <rv s="1">
    <fb>4.6249000000000002</fb>
    <v>25</v>
  </rv>
  <rv s="1">
    <fb>9364000</fb>
    <v>24</v>
  </rv>
  <rv s="1">
    <fb>0.23600000000000002</fb>
    <v>23</v>
  </rv>
  <rv s="1">
    <fb>0.27699999999999997</fb>
    <v>23</v>
  </rv>
  <rv s="1">
    <fb>0.442</fb>
    <v>23</v>
  </rv>
  <rv s="1">
    <fb>1.9E-2</fb>
    <v>23</v>
  </rv>
  <rv s="1">
    <fb>0.106</fb>
    <v>23</v>
  </rv>
  <rv s="1">
    <fb>0.16399999999999998</fb>
    <v>23</v>
  </rv>
  <rv s="1">
    <fb>0.64041999816894501</fb>
    <v>23</v>
  </rv>
  <rv s="0">
    <v>536870912</v>
    <v>Jerusalem District</v>
    <v>dcd9b1e0-1b32-7e66-c4c1-f534cad85a11</v>
    <v>en-US</v>
    <v>Map</v>
  </rv>
  <rv s="0">
    <v>536870912</v>
    <v>Tel Aviv District</v>
    <v>d6015b27-4dd3-610b-2fbd-43bf89e90313</v>
    <v>en-US</v>
    <v>Map</v>
  </rv>
  <rv s="0">
    <v>536870912</v>
    <v>Central District</v>
    <v>b8c7175b-f887-8fa0-637f-e2e7e8ae8040</v>
    <v>en-US</v>
    <v>Map</v>
  </rv>
  <rv s="0">
    <v>536870912</v>
    <v>Haifa District</v>
    <v>dbc45f9b-a63f-a09b-d54c-697c99324074</v>
    <v>en-US</v>
    <v>Map</v>
  </rv>
  <rv s="0">
    <v>536870912</v>
    <v>Northern District</v>
    <v>22ac91a9-f743-acdf-4359-b436f384753b</v>
    <v>en-US</v>
    <v>Map</v>
  </rv>
  <rv s="0">
    <v>536870912</v>
    <v>Southern District</v>
    <v>970325e2-3c4e-8bc8-62a8-400202e79fc2</v>
    <v>en-US</v>
    <v>Map</v>
  </rv>
  <rv s="3">
    <v>26</v>
  </rv>
  <rv s="1">
    <fb>0.23067846531370401</fb>
    <v>23</v>
  </rv>
  <rv s="1">
    <fb>0.253</fb>
    <v>23</v>
  </rv>
  <rv s="1">
    <fb>3.8610000610351601E-2</fb>
    <v>31</v>
  </rv>
  <rv s="1">
    <fb>8374393</fb>
    <v>24</v>
  </rv>
  <rv s="6">
    <v>#VALUE!</v>
    <v>en-US</v>
    <v>1ffafed3-2b37-b871-c271-aa855d98449a</v>
    <v>536870912</v>
    <v>1</v>
    <v>74</v>
    <v>37</v>
    <v>Israel</v>
    <v>19</v>
    <v>20</v>
    <v>Map</v>
    <v>21</v>
    <v>75</v>
    <v>IL</v>
    <v>480</v>
    <v>481</v>
    <v>482</v>
    <v>483</v>
    <v>484</v>
    <v>485</v>
    <v>486</v>
    <v>487</v>
    <v>488</v>
    <v>ILP</v>
    <v>Israel, officially the State of Israel, is a country in the Southern Levant, West Asia. It is bordered by Lebanon and Syria to the north, the West Bank and Jordan to the east, Egypt, the Gaza Strip and the Red Sea to the south, and the ...</v>
    <v>489</v>
    <v>490</v>
    <v>491</v>
    <v>492</v>
    <v>493</v>
    <v>494</v>
    <v>495</v>
    <v>496</v>
    <v>497</v>
    <v>375</v>
    <v>485</v>
    <v>501</v>
    <v>502</v>
    <v>503</v>
    <v>504</v>
    <v>375</v>
    <v>505</v>
    <v>Israel</v>
    <v>Hatikvah</v>
    <v>506</v>
    <v>מדינת ישראל</v>
    <v>507</v>
    <v>508</v>
    <v>509</v>
    <v>510</v>
    <v>511</v>
    <v>512</v>
    <v>513</v>
    <v>39</v>
    <v>514</v>
    <v>515</v>
    <v>516</v>
    <v>523</v>
    <v>524</v>
    <v>525</v>
    <v>526</v>
    <v>Israel</v>
    <v>527</v>
    <v>mdp/vdpid/117</v>
  </rv>
  <rv s="0">
    <v>536870912</v>
    <v>Italy</v>
    <v>09e8f885-427b-8850-947d-202e0287b9e8</v>
    <v>en-US</v>
    <v>Map</v>
  </rv>
  <rv s="1">
    <fb>0.432345141769226</fb>
    <v>23</v>
  </rv>
  <rv s="1">
    <fb>301338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8</v>
    <v>21</v>
    <v>77</v>
    <v>7</v>
    <v>0</v>
    <v>Image of Italy</v>
  </rv>
  <rv s="1">
    <fb>2.6</fb>
    <v>28</v>
  </rv>
  <rv s="0">
    <v>805306368</v>
    <v>Sergio Mattarella (President)</v>
    <v>7b09388e-8b92-1261-db16-7c6882735fe1</v>
    <v>en-US</v>
    <v>Generic</v>
  </rv>
  <rv s="0">
    <v>805306368</v>
    <v>Giorgia Meloni (Prime minister)</v>
    <v>5c9bb82e-e08f-f5eb-9f29-f20e75e8eb8f</v>
    <v>en-US</v>
    <v>Generic</v>
  </rv>
  <rv s="3">
    <v>27</v>
  </rv>
  <rv s="4">
    <v>https://www.bing.com/search?q=italy&amp;form=skydnc</v>
    <v>Learn more on Bing</v>
  </rv>
  <rv s="1">
    <fb>82.946341463414697</fb>
    <v>28</v>
  </rv>
  <rv s="1">
    <fb>522087790000</fb>
    <v>30</v>
  </rv>
  <rv s="1">
    <fb>2</fb>
    <v>28</v>
  </rv>
  <rv s="3">
    <v>28</v>
  </rv>
  <rv s="1">
    <fb>0.2283268819</fb>
    <v>23</v>
  </rv>
  <rv s="1">
    <fb>3.9773999999999998</fb>
    <v>25</v>
  </rv>
  <rv s="1">
    <fb>59109668</fb>
    <v>24</v>
  </rv>
  <rv s="1">
    <fb>0.23</fb>
    <v>23</v>
  </rv>
  <rv s="1">
    <fb>0.26700000000000002</fb>
    <v>23</v>
  </rv>
  <rv s="1">
    <fb>0.42100000000000004</fb>
    <v>23</v>
  </rv>
  <rv s="1">
    <fb>0.06</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 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29</v>
  </rv>
  <rv s="1">
    <fb>0.24250464933068097</fb>
    <v>23</v>
  </rv>
  <rv s="1">
    <fb>0.59099999999999997</fb>
    <v>23</v>
  </rv>
  <rv s="1">
    <fb>9.8870000839233405E-2</fb>
    <v>31</v>
  </rv>
  <rv s="1">
    <fb>42651966</fb>
    <v>24</v>
  </rv>
  <rv s="7">
    <v>#VALUE!</v>
    <v>en-US</v>
    <v>09e8f885-427b-8850-947d-202e0287b9e8</v>
    <v>536870912</v>
    <v>1</v>
    <v>80</v>
    <v>62</v>
    <v>Italy</v>
    <v>19</v>
    <v>20</v>
    <v>Map</v>
    <v>21</v>
    <v>81</v>
    <v>IT</v>
    <v>530</v>
    <v>531</v>
    <v>532</v>
    <v>533</v>
    <v>534</v>
    <v>535</v>
    <v>536</v>
    <v>537</v>
    <v>538</v>
    <v>EUR</v>
    <v>Italy, officially the Italian Republic, is a country in Southern and Western Europe. It is located on a peninsula that extends into the middle of the Mediterranean Sea, with the Alps on its northern land border, as well as islands, notably ...</v>
    <v>539</v>
    <v>540</v>
    <v>541</v>
    <v>542</v>
    <v>543</v>
    <v>544</v>
    <v>545</v>
    <v>546</v>
    <v>547</v>
    <v>548</v>
    <v>535</v>
    <v>551</v>
    <v>552</v>
    <v>553</v>
    <v>554</v>
    <v>555</v>
    <v>Italy</v>
    <v>Il Canto degli Italiani</v>
    <v>556</v>
    <v>Repubblica Italiana</v>
    <v>557</v>
    <v>558</v>
    <v>559</v>
    <v>560</v>
    <v>561</v>
    <v>562</v>
    <v>513</v>
    <v>563</v>
    <v>144</v>
    <v>447</v>
    <v>564</v>
    <v>585</v>
    <v>586</v>
    <v>587</v>
    <v>588</v>
    <v>Italy</v>
    <v>589</v>
    <v>mdp/vdpid/118</v>
  </rv>
  <rv s="0">
    <v>536870912</v>
    <v>Luxembourg</v>
    <v>18da5ef5-2f6b-6dda-3140-08391acd669a</v>
    <v>en-US</v>
    <v>Map</v>
  </rv>
  <rv s="1">
    <fb>0.53711935914593001</fb>
    <v>23</v>
  </rv>
  <rv s="1">
    <fb>2586.36</fb>
    <v>24</v>
  </rv>
  <rv s="1">
    <fb>2000</fb>
    <v>24</v>
  </rv>
  <rv s="1">
    <fb>352</fb>
    <v>26</v>
  </rv>
  <rv s="0">
    <v>536870912</v>
    <v>Luxembourg City</v>
    <v>387ae05a-dd15-f01c-07b2-097158a060ba</v>
    <v>en-US</v>
    <v>Map</v>
  </rv>
  <rv s="1">
    <fb>8987.8169999999991</fb>
    <v>24</v>
  </rv>
  <rv s="1">
    <fb>115.087815087815</fb>
    <v>27</v>
  </rv>
  <rv s="1">
    <fb>1.7433207565384301E-2</fb>
    <v>23</v>
  </rv>
  <rv s="1">
    <fb>13914.6784488756</fb>
    <v>24</v>
  </rv>
  <rv s="1">
    <fb>1.37</fb>
    <v>25</v>
  </rv>
  <rv s="1">
    <fb>0.35679011089811602</fb>
    <v>23</v>
  </rv>
  <rv s="1">
    <fb>80.562295207665002</fb>
    <v>28</v>
  </rv>
  <rv s="1">
    <fb>1.19</fb>
    <v>29</v>
  </rv>
  <rv s="1">
    <fb>71104919108.141098</fb>
    <v>30</v>
  </rv>
  <rv s="1">
    <fb>1.0228595</fb>
    <v>23</v>
  </rv>
  <rv s="1">
    <fb>0.19151769999999999</fb>
    <v>23</v>
  </rv>
  <rv s="2">
    <v>9</v>
    <v>21</v>
    <v>83</v>
    <v>7</v>
    <v>0</v>
    <v>Image of Luxembourg</v>
  </rv>
  <rv s="1">
    <fb>1.9</fb>
    <v>28</v>
  </rv>
  <rv s="0">
    <v>805306368</v>
    <v>Xavier Bettel (Prime minister)</v>
    <v>d991448c-bb7b-59d9-24b6-06461041bb47</v>
    <v>en-US</v>
    <v>Generic</v>
  </rv>
  <rv s="3">
    <v>30</v>
  </rv>
  <rv s="4">
    <v>https://www.bing.com/search?q=luxembourg&amp;form=skydnc</v>
    <v>Learn more on Bing</v>
  </rv>
  <rv s="1">
    <fb>82.095121951219497</fb>
    <v>28</v>
  </rv>
  <rv s="1">
    <fb>44233610000</fb>
    <v>30</v>
  </rv>
  <rv s="1">
    <fb>13.05</fb>
    <v>29</v>
  </rv>
  <rv s="3">
    <v>31</v>
  </rv>
  <rv s="1">
    <fb>0.1064453761</fb>
    <v>23</v>
  </rv>
  <rv s="1">
    <fb>3.0089999999999999</fb>
    <v>25</v>
  </rv>
  <rv s="1">
    <fb>640064</fb>
    <v>24</v>
  </rv>
  <rv s="1">
    <fb>0.41399999999999998</fb>
    <v>23</v>
  </rv>
  <rv s="1">
    <fb>6.5000000000000002E-2</fb>
    <v>23</v>
  </rv>
  <rv s="1">
    <fb>0.11900000000000001</fb>
    <v>23</v>
  </rv>
  <rv s="1">
    <fb>0.16800000000000001</fb>
    <v>23</v>
  </rv>
  <rv s="1">
    <fb>0.59326999664306601</fb>
    <v>23</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32</v>
  </rv>
  <rv s="1">
    <fb>0.26504268340465897</fb>
    <v>23</v>
  </rv>
  <rv s="1">
    <fb>0.20399999999999999</fb>
    <v>23</v>
  </rv>
  <rv s="1">
    <fb>5.3629999160766599E-2</fb>
    <v>31</v>
  </rv>
  <rv s="1">
    <fb>565488</fb>
    <v>24</v>
  </rv>
  <rv s="5">
    <v>#VALUE!</v>
    <v>en-US</v>
    <v>18da5ef5-2f6b-6dda-3140-08391acd669a</v>
    <v>536870912</v>
    <v>1</v>
    <v>86</v>
    <v>17</v>
    <v>Luxembourg</v>
    <v>19</v>
    <v>20</v>
    <v>Map</v>
    <v>21</v>
    <v>87</v>
    <v>LU</v>
    <v>592</v>
    <v>593</v>
    <v>594</v>
    <v>243</v>
    <v>595</v>
    <v>596</v>
    <v>597</v>
    <v>598</v>
    <v>599</v>
    <v>EUR</v>
    <v>Luxembourg, officially the Grand Duchy of Luxembourg, is a small landlocked country in Western Europe. It is bordered by Belgium to the west and north, Germany to the east, and France to the south. Its capital and most populous city, Luxembourg, ...</v>
    <v>600</v>
    <v>601</v>
    <v>602</v>
    <v>603</v>
    <v>604</v>
    <v>605</v>
    <v>606</v>
    <v>607</v>
    <v>608</v>
    <v>609</v>
    <v>596</v>
    <v>611</v>
    <v>612</v>
    <v>613</v>
    <v>614</v>
    <v>266</v>
    <v>615</v>
    <v>Luxembourg</v>
    <v>Ons Heemecht</v>
    <v>616</v>
    <v>Grand-Duché de Luxembourg</v>
    <v>617</v>
    <v>618</v>
    <v>619</v>
    <v>211</v>
    <v>442</v>
    <v>620</v>
    <v>214</v>
    <v>621</v>
    <v>622</v>
    <v>623</v>
    <v>624</v>
    <v>637</v>
    <v>638</v>
    <v>344</v>
    <v>639</v>
    <v>640</v>
    <v>Luxembourg</v>
    <v>641</v>
    <v>mdp/vdpid/147</v>
  </rv>
  <rv s="0">
    <v>536870912</v>
    <v>Spain</v>
    <v>1baf9d59-f443-e9f4-6e49-de048a073e3f</v>
    <v>en-US</v>
    <v>Map</v>
  </rv>
  <rv s="1">
    <fb>0.52577247440306896</fb>
    <v>23</v>
  </rv>
  <rv s="1">
    <fb>505990</fb>
    <v>24</v>
  </rv>
  <rv s="1">
    <fb>196000</fb>
    <v>24</v>
  </rv>
  <rv s="1">
    <fb>7.9</fb>
    <v>25</v>
  </rv>
  <rv s="1">
    <fb>34</fb>
    <v>26</v>
  </rv>
  <rv s="0">
    <v>536870912</v>
    <v>Madrid</v>
    <v>a497c067-c4c6-4bf4-9a5d-34fd30589bda</v>
    <v>en-US</v>
    <v>Map</v>
  </rv>
  <rv s="1">
    <fb>244002.18</fb>
    <v>24</v>
  </rv>
  <rv s="1">
    <fb>110.96151904206</fb>
    <v>27</v>
  </rv>
  <rv s="1">
    <fb>6.9953624171701497E-3</fb>
    <v>23</v>
  </rv>
  <rv s="1">
    <fb>5355.9870055822103</fb>
    <v>24</v>
  </rv>
  <rv s="1">
    <fb>1.26</fb>
    <v>25</v>
  </rv>
  <rv s="1">
    <fb>0.36936209528965797</fb>
    <v>23</v>
  </rv>
  <rv s="1">
    <fb>72.955546118337793</fb>
    <v>28</v>
  </rv>
  <rv s="1">
    <fb>1.26</fb>
    <v>29</v>
  </rv>
  <rv s="1">
    <fb>1394116310768.6299</fb>
    <v>30</v>
  </rv>
  <rv s="1">
    <fb>1.0271029</fb>
    <v>23</v>
  </rv>
  <rv s="1">
    <fb>0.88853009999999999</fb>
    <v>23</v>
  </rv>
  <rv s="2">
    <v>10</v>
    <v>21</v>
    <v>89</v>
    <v>7</v>
    <v>0</v>
    <v>Image of Spain</v>
  </rv>
  <rv s="1">
    <fb>2.5</fb>
    <v>28</v>
  </rv>
  <rv s="0">
    <v>805306368</v>
    <v>Felipe VI of Spain (Monarch)</v>
    <v>ec86fb82-ddbc-286a-d1a7-3644682c1efc</v>
    <v>en-US</v>
    <v>Generic</v>
  </rv>
  <rv s="0">
    <v>805306368</v>
    <v>Pedro Sánchez (Prime minister)</v>
    <v>9e0d6cf3-f466-7b6f-0a92-aa23020fc120</v>
    <v>en-US</v>
    <v>Generic</v>
  </rv>
  <rv s="3">
    <v>33</v>
  </rv>
  <rv s="4">
    <v>https://www.bing.com/search?q=spain&amp;form=skydnc</v>
    <v>Learn more on Bing</v>
  </rv>
  <rv s="1">
    <fb>83.334146341463395</fb>
    <v>28</v>
  </rv>
  <rv s="1">
    <fb>797285840000</fb>
    <v>30</v>
  </rv>
  <rv s="1">
    <fb>4</fb>
    <v>28</v>
  </rv>
  <rv s="1">
    <fb>5.6</fb>
    <v>29</v>
  </rv>
  <rv s="3">
    <v>34</v>
  </rv>
  <rv s="1">
    <fb>0.24229018520000001</fb>
    <v>23</v>
  </rv>
  <rv s="1">
    <fb>3.8723000000000001</fb>
    <v>25</v>
  </rv>
  <rv s="1">
    <fb>47415750</fb>
    <v>24</v>
  </rv>
  <rv s="1">
    <fb>0.23399999999999999</fb>
    <v>23</v>
  </rv>
  <rv s="1">
    <fb>0.254</fb>
    <v>23</v>
  </rv>
  <rv s="1">
    <fb>0.41</fb>
    <v>23</v>
  </rv>
  <rv s="1">
    <fb>2.1000000000000001E-2</fb>
    <v>23</v>
  </rv>
  <rv s="1">
    <fb>6.2E-2</fb>
    <v>23</v>
  </rv>
  <rv s="1">
    <fb>0.122</fb>
    <v>23</v>
  </rv>
  <rv s="1">
    <fb>0.17199999999999999</fb>
    <v>23</v>
  </rv>
  <rv s="1">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Land of Valencia</v>
    <v>d1a45f13-aca9-6854-cb23-92573a279216</v>
    <v>en-US</v>
    <v>Map</v>
  </rv>
  <rv s="0">
    <v>536870912</v>
    <v>Galicia</v>
    <v>70c91f08-f55c-f98a-047e-aa9228ed4253</v>
    <v>en-US</v>
    <v>Map</v>
  </rv>
  <rv s="0">
    <v>536870912</v>
    <v>Castile and León</v>
    <v>7fc8f34d-7f31-b8c6-34d4-545cb3920adf</v>
    <v>en-US</v>
    <v>Map</v>
  </rv>
  <rv s="0">
    <v>536870912</v>
    <v>Basque Autonomous Community</v>
    <v>27cbb013-d521-0f66-7c87-67bad92e92f5</v>
    <v>en-US</v>
    <v>Map</v>
  </rv>
  <rv s="0">
    <v>536870912</v>
    <v>Canary Islands</v>
    <v>e5f4f633-d27e-9012-be27-a85d7ed21999</v>
    <v>en-US</v>
    <v>Map</v>
  </rv>
  <rv s="0">
    <v>536870912</v>
    <v>Castile-La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35</v>
  </rv>
  <rv s="1">
    <fb>0.14248211393678101</fb>
    <v>23</v>
  </rv>
  <rv s="1">
    <fb>0.47</fb>
    <v>23</v>
  </rv>
  <rv s="1">
    <fb>0.13958999633789099</fb>
    <v>31</v>
  </rv>
  <rv s="1">
    <fb>37927409</fb>
    <v>24</v>
  </rv>
  <rv s="6">
    <v>#VALUE!</v>
    <v>en-US</v>
    <v>1baf9d59-f443-e9f4-6e49-de048a073e3f</v>
    <v>536870912</v>
    <v>1</v>
    <v>92</v>
    <v>37</v>
    <v>Spain</v>
    <v>19</v>
    <v>20</v>
    <v>Map</v>
    <v>21</v>
    <v>87</v>
    <v>ES</v>
    <v>644</v>
    <v>645</v>
    <v>646</v>
    <v>647</v>
    <v>648</v>
    <v>649</v>
    <v>650</v>
    <v>651</v>
    <v>652</v>
    <v>ESP</v>
    <v>Spain, or the Kingdom of Spain, is a country located in Southwestern Europe, with parts of its territory in the Atlantic Ocean, the Mediterranean Sea and Africa. It is the largest country in Southern Europe and the fourth-most populous European ...</v>
    <v>653</v>
    <v>654</v>
    <v>655</v>
    <v>656</v>
    <v>657</v>
    <v>658</v>
    <v>659</v>
    <v>660</v>
    <v>661</v>
    <v>662</v>
    <v>649</v>
    <v>665</v>
    <v>666</v>
    <v>667</v>
    <v>668</v>
    <v>669</v>
    <v>670</v>
    <v>Spain</v>
    <v>Marcha Real</v>
    <v>671</v>
    <v>Reino de España</v>
    <v>672</v>
    <v>673</v>
    <v>674</v>
    <v>675</v>
    <v>676</v>
    <v>677</v>
    <v>678</v>
    <v>679</v>
    <v>680</v>
    <v>681</v>
    <v>682</v>
    <v>701</v>
    <v>702</v>
    <v>703</v>
    <v>704</v>
    <v>Spain</v>
    <v>705</v>
    <v>mdp/vdpid/217</v>
  </rv>
  <rv s="0">
    <v>536870912</v>
    <v>Sweden</v>
    <v>a5928099-53c3-11a8-91e6-6fe59b8c4f9a</v>
    <v>en-US</v>
    <v>Map</v>
  </rv>
  <rv s="1">
    <fb>7.4427340355012209E-2</fb>
    <v>23</v>
  </rv>
  <rv s="1">
    <fb>447425.16</fb>
    <v>24</v>
  </rv>
  <rv s="1">
    <fb>30000</fb>
    <v>24</v>
  </rv>
  <rv s="1">
    <fb>11.4</fb>
    <v>25</v>
  </rv>
  <rv s="1">
    <fb>46</fb>
    <v>26</v>
  </rv>
  <rv s="0">
    <v>536870912</v>
    <v>Stockholm</v>
    <v>9daa4a8d-0e69-da3a-672e-16d4743a665b</v>
    <v>en-US</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2">
    <v>11</v>
    <v>21</v>
    <v>94</v>
    <v>7</v>
    <v>0</v>
    <v>Image of Sweden</v>
  </rv>
  <rv s="1">
    <fb>2.2000000000000002</fb>
    <v>28</v>
  </rv>
  <rv s="0">
    <v>805306368</v>
    <v>Carl XVI Gustaf of Sweden (Monarch)</v>
    <v>d74145c5-55cc-559b-1761-543f3fbf2fcd</v>
    <v>en-US</v>
    <v>Generic</v>
  </rv>
  <rv s="0">
    <v>805306368</v>
    <v>Ulf Kristersson (Prime minister)</v>
    <v>b10837fe-3ec0-27e8-04f3-230e5f1c436f</v>
    <v>en-US</v>
    <v>Generic</v>
  </rv>
  <rv s="3">
    <v>36</v>
  </rv>
  <rv s="4">
    <v>https://www.bing.com/search?q=sweden&amp;form=skydnc</v>
    <v>Learn more on Bing</v>
  </rv>
  <rv s="1">
    <fb>82.512195121951194</fb>
    <v>28</v>
  </rv>
  <rv s="1">
    <fb>289877140000</fb>
    <v>30</v>
  </rv>
  <rv s="3">
    <v>37</v>
  </rv>
  <rv s="1">
    <fb>0.15191583449999999</fb>
    <v>23</v>
  </rv>
  <rv s="1">
    <fb>3.984</fb>
    <v>25</v>
  </rv>
  <rv s="1">
    <fb>10415811</fb>
    <v>24</v>
  </rv>
  <rv s="1">
    <fb>0.23100000000000001</fb>
    <v>23</v>
  </rv>
  <rv s="1">
    <fb>0.371</fb>
    <v>23</v>
  </rv>
  <rv s="1">
    <fb>0.03</fb>
    <v>23</v>
  </rv>
  <rv s="1">
    <fb>8.3000000000000004E-2</fb>
    <v>23</v>
  </rv>
  <rv s="1">
    <fb>0.13900000000000001</fb>
    <v>23</v>
  </rv>
  <rv s="1">
    <fb>0.17600000000000002</fb>
    <v>23</v>
  </rv>
  <rv s="1">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38</v>
  </rv>
  <rv s="1">
    <fb>0.27911031322372698</fb>
    <v>23</v>
  </rv>
  <rv s="1">
    <fb>0.49099999999999999</fb>
    <v>23</v>
  </rv>
  <rv s="1">
    <fb>6.4759998321533202E-2</fb>
    <v>31</v>
  </rv>
  <rv s="1">
    <fb>9021165</fb>
    <v>24</v>
  </rv>
  <rv s="8">
    <v>#VALUE!</v>
    <v>en-US</v>
    <v>a5928099-53c3-11a8-91e6-6fe59b8c4f9a</v>
    <v>536870912</v>
    <v>1</v>
    <v>97</v>
    <v>98</v>
    <v>Sweden</v>
    <v>19</v>
    <v>20</v>
    <v>Map</v>
    <v>21</v>
    <v>99</v>
    <v>SE</v>
    <v>708</v>
    <v>709</v>
    <v>710</v>
    <v>711</v>
    <v>712</v>
    <v>713</v>
    <v>714</v>
    <v>715</v>
    <v>716</v>
    <v>SEK</v>
    <v>Sweden, formally the Kingdom of Sweden, is a Nordic country located on the Scandinavian Peninsula in Northern Europe. At 450,295 square kilometres, Sweden is the largest Nordic country and the fifth-largest country in Europe. The capital and ...</v>
    <v>717</v>
    <v>718</v>
    <v>719</v>
    <v>720</v>
    <v>721</v>
    <v>722</v>
    <v>723</v>
    <v>724</v>
    <v>725</v>
    <v>726</v>
    <v>713</v>
    <v>729</v>
    <v>730</v>
    <v>731</v>
    <v>732</v>
    <v>669</v>
    <v>Sweden</v>
    <v>Du gamla, du fria</v>
    <v>733</v>
    <v>Konungariket Sverige</v>
    <v>734</v>
    <v>735</v>
    <v>736</v>
    <v>737</v>
    <v>380</v>
    <v>738</v>
    <v>739</v>
    <v>740</v>
    <v>741</v>
    <v>742</v>
    <v>743</v>
    <v>765</v>
    <v>766</v>
    <v>344</v>
    <v>767</v>
    <v>768</v>
    <v>Sweden</v>
    <v>769</v>
    <v>mdp/vdpid/221</v>
  </rv>
  <rv s="0">
    <v>536870912</v>
    <v>Netherlands</v>
    <v>bf5c1a4b-df0b-09dc-dce0-e3fb0c898dd3</v>
    <v>en-US</v>
    <v>Map</v>
  </rv>
  <rv s="1">
    <fb>0.53309587414663095</fb>
    <v>23</v>
  </rv>
  <rv s="1">
    <fb>41543</fb>
    <v>24</v>
  </rv>
  <rv s="1">
    <fb>41000</fb>
    <v>24</v>
  </rv>
  <rv s="1">
    <fb>9.6999999999999993</fb>
    <v>25</v>
  </rv>
  <rv s="1">
    <fb>31</fb>
    <v>26</v>
  </rv>
  <rv s="0">
    <v>536870912</v>
    <v>Amsterdam</v>
    <v>0b840501-8599-9528-5b22-13589caf205a</v>
    <v>en-US</v>
    <v>Map</v>
  </rv>
  <rv s="1">
    <fb>170779.524</fb>
    <v>24</v>
  </rv>
  <rv s="1">
    <fb>115.907994941178</fb>
    <v>27</v>
  </rv>
  <rv s="1">
    <fb>2.6336991024959299E-2</fb>
    <v>23</v>
  </rv>
  <rv s="1">
    <fb>6712.7747582450002</fb>
    <v>24</v>
  </rv>
  <rv s="1">
    <fb>1.59</fb>
    <v>25</v>
  </rv>
  <rv s="1">
    <fb>0.11178391395177099</fb>
    <v>23</v>
  </rv>
  <rv s="1">
    <fb>93.461004609605595</fb>
    <v>28</v>
  </rv>
  <rv s="1">
    <fb>1.68</fb>
    <v>29</v>
  </rv>
  <rv s="1">
    <fb>909070395160.78296</fb>
    <v>30</v>
  </rv>
  <rv s="1">
    <fb>1.0422962</fb>
    <v>23</v>
  </rv>
  <rv s="1">
    <fb>0.84980450000000007</fb>
    <v>23</v>
  </rv>
  <rv s="2">
    <v>12</v>
    <v>21</v>
    <v>101</v>
    <v>7</v>
    <v>0</v>
    <v>Image of Netherlands</v>
  </rv>
  <rv s="1">
    <fb>3.3</fb>
    <v>28</v>
  </rv>
  <rv s="0">
    <v>805306368</v>
    <v>Willem-Alexander of the Netherlands (Monarch)</v>
    <v>70912573-f10f-4d1d-a8f8-220566451e74</v>
    <v>en-US</v>
    <v>Generic</v>
  </rv>
  <rv s="0">
    <v>805306368</v>
    <v>Mark Rutte (Prime minister)</v>
    <v>673e1b90-ad19-15cc-dd94-53646495b541</v>
    <v>en-US</v>
    <v>Generic</v>
  </rv>
  <rv s="3">
    <v>39</v>
  </rv>
  <rv s="4">
    <v>https://www.bing.com/search?q=netherlands&amp;form=skydnc</v>
    <v>Learn more on Bing</v>
  </rv>
  <rv s="1">
    <fb>81.760975609756102</fb>
    <v>28</v>
  </rv>
  <rv s="1">
    <fb>1100105440292.49</fb>
    <v>30</v>
  </rv>
  <rv s="1">
    <fb>10.29</fb>
    <v>29</v>
  </rv>
  <rv s="3">
    <v>40</v>
  </rv>
  <rv s="1">
    <fb>0.1225176999</fb>
    <v>23</v>
  </rv>
  <rv s="1">
    <fb>3.6053999999999999</fb>
    <v>25</v>
  </rv>
  <rv s="1">
    <fb>17590672</fb>
    <v>24</v>
  </rv>
  <rv s="1">
    <fb>0.376</fb>
    <v>23</v>
  </rv>
  <rv s="1">
    <fb>3.5000000000000003E-2</fb>
    <v>23</v>
  </rv>
  <rv s="1">
    <fb>8.8000000000000009E-2</fb>
    <v>23</v>
  </rv>
  <rv s="1">
    <fb>0.13800000000000001</fb>
    <v>23</v>
  </rv>
  <rv s="1">
    <fb>0.17499999999999999</fb>
    <v>23</v>
  </rv>
  <rv s="1">
    <fb>0.63619998931884802</fb>
    <v>23</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41</v>
  </rv>
  <rv s="1">
    <fb>0.230359193787393</fb>
    <v>23</v>
  </rv>
  <rv s="3">
    <v>42</v>
  </rv>
  <rv s="1">
    <fb>0.41200000000000003</fb>
    <v>23</v>
  </rv>
  <rv s="1">
    <fb>3.1960000991821301E-2</fb>
    <v>31</v>
  </rv>
  <rv s="1">
    <fb>15924729</fb>
    <v>24</v>
  </rv>
  <rv s="5">
    <v>#VALUE!</v>
    <v>en-US</v>
    <v>bf5c1a4b-df0b-09dc-dce0-e3fb0c898dd3</v>
    <v>536870912</v>
    <v>1</v>
    <v>104</v>
    <v>17</v>
    <v>Netherlands</v>
    <v>19</v>
    <v>20</v>
    <v>Map</v>
    <v>21</v>
    <v>105</v>
    <v>NL</v>
    <v>772</v>
    <v>773</v>
    <v>774</v>
    <v>775</v>
    <v>776</v>
    <v>777</v>
    <v>778</v>
    <v>779</v>
    <v>780</v>
    <v>EUR</v>
    <v>The Netherlands, informally Holland, is a country located in Northwestern Europe with overseas territories in the Caribbean. It is the largest of the four constituent countries of the Kingdom of the Netherlands. The Netherlands consists of ...</v>
    <v>781</v>
    <v>782</v>
    <v>783</v>
    <v>784</v>
    <v>785</v>
    <v>786</v>
    <v>787</v>
    <v>788</v>
    <v>789</v>
    <v>790</v>
    <v>777</v>
    <v>793</v>
    <v>794</v>
    <v>795</v>
    <v>796</v>
    <v>266</v>
    <v>797</v>
    <v>Netherlands</v>
    <v>Wilhelmus</v>
    <v>798</v>
    <v>Nederland</v>
    <v>799</v>
    <v>800</v>
    <v>801</v>
    <v>380</v>
    <v>211</v>
    <v>802</v>
    <v>803</v>
    <v>804</v>
    <v>805</v>
    <v>806</v>
    <v>807</v>
    <v>822</v>
    <v>823</v>
    <v>824</v>
    <v>825</v>
    <v>826</v>
    <v>Netherlands</v>
    <v>827</v>
    <v>mdp/vdpid/176</v>
  </rv>
  <rv s="0">
    <v>536870912</v>
    <v>United Arab Emirates</v>
    <v>254a2621-4625-0f85-0b9d-13e4e75e5c9b</v>
    <v>en-US</v>
    <v>Map</v>
  </rv>
  <rv s="1">
    <fb>5.4745140494645003E-2</fb>
    <v>23</v>
  </rv>
  <rv s="1">
    <fb>83600</fb>
    <v>24</v>
  </rv>
  <rv s="1">
    <fb>63000</fb>
    <v>24</v>
  </rv>
  <rv s="1">
    <fb>10.331</fb>
    <v>25</v>
  </rv>
  <rv s="1">
    <fb>971</fb>
    <v>26</v>
  </rv>
  <rv s="0">
    <v>536870912</v>
    <v>Abu Dhabi</v>
    <v>5c13f73c-6c26-b05a-8294-4e5d670b582c</v>
    <v>en-US</v>
    <v>Map</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2">
    <v>13</v>
    <v>21</v>
    <v>107</v>
    <v>7</v>
    <v>0</v>
    <v>Image of United Arab Emirates</v>
  </rv>
  <rv s="1">
    <fb>6.5</fb>
    <v>28</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3">
    <v>43</v>
  </rv>
  <rv s="4">
    <v>https://www.bing.com/search?q=united+arab+emirates&amp;form=skydnc</v>
    <v>Learn more on Bing</v>
  </rv>
  <rv s="1">
    <fb>77.813999999999993</fb>
    <v>28</v>
  </rv>
  <rv s="1">
    <fb>247209143274.88101</fb>
    <v>30</v>
  </rv>
  <rv s="3">
    <v>44</v>
  </rv>
  <rv s="1">
    <fb>0.1778964985</fb>
    <v>23</v>
  </rv>
  <rv s="1">
    <fb>2.5278</fb>
    <v>25</v>
  </rv>
  <rv s="1">
    <fb>9890400</fb>
    <v>24</v>
  </rv>
  <rv s="1">
    <fb>0.255</fb>
    <v>23</v>
  </rv>
  <rv s="1">
    <fb>0.214</fb>
    <v>23</v>
  </rv>
  <rv s="1">
    <fb>0.38200000000000001</fb>
    <v>23</v>
  </rv>
  <rv s="1">
    <fb>2.3E-2</fb>
    <v>23</v>
  </rv>
  <rv s="1">
    <fb>0.18</fb>
    <v>23</v>
  </rv>
  <rv s="1">
    <fb>0.82094001770019498</fb>
    <v>23</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45</v>
  </rv>
  <rv s="1">
    <fb>5.9310281329913201E-4</fb>
    <v>23</v>
  </rv>
  <rv s="1">
    <fb>0.159</fb>
    <v>23</v>
  </rv>
  <rv s="1">
    <fb>2.3480000495910602E-2</fb>
    <v>31</v>
  </rv>
  <rv s="1">
    <fb>8479744</fb>
    <v>24</v>
  </rv>
  <rv s="7">
    <v>#VALUE!</v>
    <v>en-US</v>
    <v>254a2621-4625-0f85-0b9d-13e4e75e5c9b</v>
    <v>536870912</v>
    <v>1</v>
    <v>110</v>
    <v>62</v>
    <v>United Arab Emirates</v>
    <v>19</v>
    <v>20</v>
    <v>Map</v>
    <v>21</v>
    <v>111</v>
    <v>AE</v>
    <v>830</v>
    <v>831</v>
    <v>832</v>
    <v>833</v>
    <v>834</v>
    <v>835</v>
    <v>836</v>
    <v>837</v>
    <v>838</v>
    <v>AED</v>
    <v>The United Arab Emirates, or simply the Emirates, is a country in West Asia, in the Middle East. Located at the eastern end of the Arabian Peninsula, it shares borders with Oman and Saudi Arabia; as well as maritime borders in the Persian Gulf ...</v>
    <v>839</v>
    <v>840</v>
    <v>841</v>
    <v>842</v>
    <v>843</v>
    <v>844</v>
    <v>845</v>
    <v>846</v>
    <v>847</v>
    <v>848</v>
    <v>849</v>
    <v>852</v>
    <v>853</v>
    <v>854</v>
    <v>855</v>
    <v>375</v>
    <v>United Arab Emirates</v>
    <v>Ishy Bilady</v>
    <v>856</v>
    <v>les Émirats arabes unis</v>
    <v>857</v>
    <v>858</v>
    <v>859</v>
    <v>860</v>
    <v>861</v>
    <v>862</v>
    <v>863</v>
    <v>679</v>
    <v>144</v>
    <v>864</v>
    <v>865</v>
    <v>871</v>
    <v>872</v>
    <v>873</v>
    <v>874</v>
    <v>United Arab Emirates</v>
    <v>875</v>
    <v>mdp/vdpid/224</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14</v>
    <v>21</v>
    <v>113</v>
    <v>7</v>
    <v>0</v>
    <v>Image of United Kingdom</v>
  </rv>
  <rv s="1">
    <fb>3.6</fb>
    <v>28</v>
  </rv>
  <rv s="0">
    <v>805306368</v>
    <v>Rishi Sunak (Prime minister)</v>
    <v>79551c5d-075b-e493-70a2-f5b22a4876e1</v>
    <v>en-US</v>
    <v>Generic</v>
  </rv>
  <rv s="3">
    <v>46</v>
  </rv>
  <rv s="4">
    <v>https://www.bing.com/search?q=united+kingdom&amp;form=skydnc</v>
    <v>Learn more on Bing</v>
  </rv>
  <rv s="1">
    <fb>81.256097560975604</fb>
    <v>28</v>
  </rv>
  <rv s="1">
    <fb>1868152970000</fb>
    <v>30</v>
  </rv>
  <rv s="1">
    <fb>10.130000000000001</fb>
    <v>29</v>
  </rv>
  <rv s="1">
    <fb>0.14794489889999998</fb>
    <v>23</v>
  </rv>
  <rv s="1">
    <fb>2.8117000000000001</fb>
    <v>25</v>
  </rv>
  <rv s="1">
    <fb>67326569</fb>
    <v>24</v>
  </rv>
  <rv s="1">
    <fb>0.22500000000000001</fb>
    <v>23</v>
  </rv>
  <rv s="1">
    <fb>0.26800000000000002</fb>
    <v>23</v>
  </rv>
  <rv s="1">
    <fb>2.7999999999999997E-2</fb>
    <v>23</v>
  </rv>
  <rv s="1">
    <fb>7.0999999999999994E-2</fb>
    <v>23</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47</v>
  </rv>
  <rv s="1">
    <fb>0.255052921600669</fb>
    <v>23</v>
  </rv>
  <rv s="3">
    <v>48</v>
  </rv>
  <rv s="1">
    <fb>0.30599999999999999</fb>
    <v>23</v>
  </rv>
  <rv s="1">
    <fb>3.8510000705719E-2</fb>
    <v>31</v>
  </rv>
  <rv s="1">
    <fb>55908316</fb>
    <v>24</v>
  </rv>
  <rv s="5">
    <v>#VALUE!</v>
    <v>en-US</v>
    <v>b1a5155a-6bb2-4646-8f7c-3e6b3a53c831</v>
    <v>536870912</v>
    <v>1</v>
    <v>116</v>
    <v>17</v>
    <v>United Kingdom</v>
    <v>19</v>
    <v>20</v>
    <v>Map</v>
    <v>21</v>
    <v>117</v>
    <v>GB</v>
    <v>878</v>
    <v>879</v>
    <v>880</v>
    <v>881</v>
    <v>882</v>
    <v>883</v>
    <v>884</v>
    <v>885</v>
    <v>886</v>
    <v>GBP</v>
    <v>The United Kingdom of Great Britain and Northern Ireland, commonly known as the United Kingdom or Britain, is a country in Northwestern Europe, off the coast of the continental mainland. It comprises England, Scotland, Wales, and Northern ...</v>
    <v>887</v>
    <v>888</v>
    <v>889</v>
    <v>890</v>
    <v>891</v>
    <v>892</v>
    <v>893</v>
    <v>894</v>
    <v>895</v>
    <v>896</v>
    <v>883</v>
    <v>898</v>
    <v>899</v>
    <v>900</v>
    <v>901</v>
    <v>314</v>
    <v>902</v>
    <v>United Kingdom</v>
    <v>God Save The King</v>
    <v>31</v>
    <v>United Kingdom of Great Britain and Northern Ireland</v>
    <v>903</v>
    <v>904</v>
    <v>905</v>
    <v>906</v>
    <v>907</v>
    <v>562</v>
    <v>908</v>
    <v>909</v>
    <v>622</v>
    <v>515</v>
    <v>910</v>
    <v>915</v>
    <v>916</v>
    <v>917</v>
    <v>918</v>
    <v>919</v>
    <v>United Kingdom</v>
    <v>920</v>
    <v>mdp/vdpid/242</v>
  </rv>
  <rv s="0">
    <v>536870912</v>
    <v>Australia</v>
    <v>06de2191-243d-a83f-6990-2eb1c7f3382a</v>
    <v>en-US</v>
    <v>Map</v>
  </rv>
  <rv s="1">
    <fb>0.48241944248714902</fb>
    <v>23</v>
  </rv>
  <rv s="1">
    <fb>7692024</fb>
    <v>24</v>
  </rv>
  <rv s="1">
    <fb>58000</fb>
    <v>24</v>
  </rv>
  <rv s="1">
    <fb>12.6</fb>
    <v>25</v>
  </rv>
  <rv s="1">
    <fb>61</fb>
    <v>26</v>
  </rv>
  <rv s="0">
    <v>536870912</v>
    <v>Canberra</v>
    <v>59ab58e3-2f00-9175-e7b8-76d910040855</v>
    <v>en-US</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2">
    <v>15</v>
    <v>21</v>
    <v>119</v>
    <v>7</v>
    <v>0</v>
    <v>Image of Australia</v>
  </rv>
  <rv s="0">
    <v>536870912</v>
    <v>Sydney</v>
    <v>3ecec2e8-2993-42e7-7299-f693bbe3b9b9</v>
    <v>en-US</v>
    <v>Map</v>
  </rv>
  <rv s="0">
    <v>805306368</v>
    <v>Anthony Albanese (Prime minister)</v>
    <v>00f8b947-2f64-9828-df4d-5993583bdbe4</v>
    <v>en-US</v>
    <v>Generic</v>
  </rv>
  <rv s="3">
    <v>49</v>
  </rv>
  <rv s="4">
    <v>https://www.bing.com/search?q=australia&amp;form=skydnc</v>
    <v>Learn more on Bing</v>
  </rv>
  <rv s="1">
    <fb>82.748780487804893</fb>
    <v>28</v>
  </rv>
  <rv s="1">
    <fb>1487598500000</fb>
    <v>30</v>
  </rv>
  <rv s="1">
    <fb>6</fb>
    <v>28</v>
  </rv>
  <rv s="1">
    <fb>13.59</fb>
    <v>29</v>
  </rv>
  <rv s="1">
    <fb>0.19558295019999999</fb>
    <v>23</v>
  </rv>
  <rv s="1">
    <fb>3.6778</fb>
    <v>25</v>
  </rv>
  <rv s="1">
    <fb>25688079</fb>
    <v>24</v>
  </rv>
  <rv s="1">
    <fb>0.221</fb>
    <v>23</v>
  </rv>
  <rv s="1">
    <fb>0.27</fb>
    <v>23</v>
  </rv>
  <rv s="1">
    <fb>7.400000000000001E-2</fb>
    <v>23</v>
  </rv>
  <rv s="1">
    <fb>0.161</fb>
    <v>23</v>
  </rv>
  <rv s="1">
    <fb>0.65517997741699208</fb>
    <v>23</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50</v>
  </rv>
  <rv s="1">
    <fb>0.22985815296127299</fb>
    <v>23</v>
  </rv>
  <rv s="1">
    <fb>0.47399999999999998</fb>
    <v>23</v>
  </rv>
  <rv s="1">
    <fb>5.2680001258850098E-2</fb>
    <v>31</v>
  </rv>
  <rv s="1">
    <fb>21844756</fb>
    <v>24</v>
  </rv>
  <rv s="6">
    <v>#VALUE!</v>
    <v>en-US</v>
    <v>06de2191-243d-a83f-6990-2eb1c7f3382a</v>
    <v>536870912</v>
    <v>1</v>
    <v>122</v>
    <v>37</v>
    <v>Australia</v>
    <v>19</v>
    <v>20</v>
    <v>Map</v>
    <v>21</v>
    <v>123</v>
    <v>AU</v>
    <v>923</v>
    <v>924</v>
    <v>925</v>
    <v>926</v>
    <v>927</v>
    <v>928</v>
    <v>929</v>
    <v>930</v>
    <v>931</v>
    <v>AUD</v>
    <v>Australia, officially the Commonwealth of Australia, is a country comprising the mainland of the Australian continent, the island of Tasmania, and numerous smaller islands. Australia is the largest country by area in Oceania and the world's ...</v>
    <v>932</v>
    <v>933</v>
    <v>934</v>
    <v>935</v>
    <v>936</v>
    <v>937</v>
    <v>938</v>
    <v>939</v>
    <v>940</v>
    <v>308</v>
    <v>941</v>
    <v>943</v>
    <v>944</v>
    <v>945</v>
    <v>946</v>
    <v>947</v>
    <v>948</v>
    <v>Australia</v>
    <v>Advance Australia Fair</v>
    <v>31</v>
    <v>Commonwealth of Australia</v>
    <v>949</v>
    <v>950</v>
    <v>951</v>
    <v>952</v>
    <v>953</v>
    <v>562</v>
    <v>908</v>
    <v>954</v>
    <v>680</v>
    <v>955</v>
    <v>956</v>
    <v>972</v>
    <v>973</v>
    <v>974</v>
    <v>975</v>
    <v>Australia</v>
    <v>976</v>
    <v>mdp/vdpid/12</v>
  </rv>
  <rv s="0">
    <v>536870912</v>
    <v>India</v>
    <v>85fa63d3-9596-adb9-b4eb-502273d84f56</v>
    <v>en-US</v>
    <v>Map</v>
  </rv>
  <rv s="1">
    <fb>0.60447196445568596</fb>
    <v>23</v>
  </rv>
  <rv s="1">
    <fb>3287263</fb>
    <v>24</v>
  </rv>
  <rv s="1">
    <fb>3031000</fb>
    <v>24</v>
  </rv>
  <rv s="1">
    <fb>17.856999999999999</fb>
    <v>25</v>
  </rv>
  <rv s="1">
    <fb>91</fb>
    <v>26</v>
  </rv>
  <rv s="0">
    <v>536870912</v>
    <v>New Delhi</v>
    <v>9b1ec747-aca0-6708-8b17-4f08ca9a1c2d</v>
    <v>en-US</v>
    <v>Map</v>
  </rv>
  <rv s="1">
    <fb>2407671.5260000001</fb>
    <v>24</v>
  </rv>
  <rv s="1">
    <fb>180.43581241118</fb>
    <v>27</v>
  </rv>
  <rv s="1">
    <fb>7.6596947427925291E-2</fb>
    <v>23</v>
  </rv>
  <rv s="1">
    <fb>804.51422808927896</fb>
    <v>24</v>
  </rv>
  <rv s="1">
    <fb>2.222</fb>
    <v>25</v>
  </rv>
  <rv s="1">
    <fb>0.23833121474746</fb>
    <v>23</v>
  </rv>
  <rv s="1">
    <fb>73.576979087800794</fb>
    <v>28</v>
  </rv>
  <rv s="1">
    <fb>0.97</fb>
    <v>29</v>
  </rv>
  <rv s="1">
    <fb>2611000000000.0098</fb>
    <v>30</v>
  </rv>
  <rv s="1">
    <fb>1.1295785999999999</fb>
    <v>23</v>
  </rv>
  <rv s="1">
    <fb>0.28060550000000001</fb>
    <v>23</v>
  </rv>
  <rv s="2">
    <v>16</v>
    <v>21</v>
    <v>125</v>
    <v>7</v>
    <v>0</v>
    <v>Image of India</v>
  </rv>
  <rv s="1">
    <fb>29.9</fb>
    <v>28</v>
  </rv>
  <rv s="0">
    <v>536870912</v>
    <v>Mumbai</v>
    <v>fbbc8d69-667a-e1ff-34bf-e524be01025d</v>
    <v>en-US</v>
    <v>Map</v>
  </rv>
  <rv s="0">
    <v>805306368</v>
    <v>Droupadi Murmu (President)</v>
    <v>adde4ff7-2867-52d2-5cee-2e1eb72876cd</v>
    <v>en-US</v>
    <v>Generic</v>
  </rv>
  <rv s="0">
    <v>805306368</v>
    <v>Jagdeep Dhankhar (Vice president)</v>
    <v>cfa2e8c7-64e1-e81b-7e51-6da604f190d6</v>
    <v>en-US</v>
    <v>Generic</v>
  </rv>
  <rv s="0">
    <v>805306368</v>
    <v>Narendra Modi (Prime minister)</v>
    <v>04fee623-e9bd-ee4b-f30d-cad3c29199e4</v>
    <v>en-US</v>
    <v>Generic</v>
  </rv>
  <rv s="0">
    <v>805306368</v>
    <v>Dhananjaya Y. Chandrachud (Chief justice)</v>
    <v>f421a29e-7806-c913-4950-d7dc466c1465</v>
    <v>en-US</v>
    <v>Generic</v>
  </rv>
  <rv s="3">
    <v>51</v>
  </rv>
  <rv s="4">
    <v>https://www.bing.com/search?q=india&amp;form=skydnc</v>
    <v>Learn more on Bing</v>
  </rv>
  <rv s="1">
    <fb>69.415999999999997</fb>
    <v>28</v>
  </rv>
  <rv s="1">
    <fb>2179781240000</fb>
    <v>30</v>
  </rv>
  <rv s="1">
    <fb>145</fb>
    <v>28</v>
  </rv>
  <rv s="1">
    <fb>0.3</fb>
    <v>29</v>
  </rv>
  <rv s="3">
    <v>52</v>
  </rv>
  <rv s="1">
    <fb>0.65060906480000003</fb>
    <v>23</v>
  </rv>
  <rv s="1">
    <fb>0.85709999999999997</fb>
    <v>25</v>
  </rv>
  <rv s="1">
    <fb>1407563842</fb>
    <v>24</v>
  </rv>
  <rv s="1">
    <fb>0.20300000000000001</fb>
    <v>23</v>
  </rv>
  <rv s="1">
    <fb>0.317</fb>
    <v>23</v>
  </rv>
  <rv s="1">
    <fb>0.46200000000000002</fb>
    <v>23</v>
  </rv>
  <rv s="1">
    <fb>7.6999999999999999E-2</fb>
    <v>23</v>
  </rv>
  <rv s="1">
    <fb>0.111</fb>
    <v>23</v>
  </rv>
  <rv s="1">
    <fb>0.14699999999999999</fb>
    <v>23</v>
  </rv>
  <rv s="1">
    <fb>0.49292999267578097</fb>
    <v>23</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53</v>
  </rv>
  <rv s="1">
    <fb>0.111799218352875</fb>
    <v>23</v>
  </rv>
  <rv s="3">
    <v>54</v>
  </rv>
  <rv s="1">
    <fb>0.49700000000000005</fb>
    <v>23</v>
  </rv>
  <rv s="1">
    <fb>5.35500001907349E-2</fb>
    <v>31</v>
  </rv>
  <rv s="1">
    <fb>471031528</fb>
    <v>24</v>
  </rv>
  <rv s="5">
    <v>#VALUE!</v>
    <v>en-US</v>
    <v>85fa63d3-9596-adb9-b4eb-502273d84f56</v>
    <v>536870912</v>
    <v>1</v>
    <v>129</v>
    <v>17</v>
    <v>India</v>
    <v>19</v>
    <v>20</v>
    <v>Map</v>
    <v>21</v>
    <v>130</v>
    <v>IN</v>
    <v>979</v>
    <v>980</v>
    <v>981</v>
    <v>982</v>
    <v>983</v>
    <v>984</v>
    <v>985</v>
    <v>986</v>
    <v>987</v>
    <v>INR</v>
    <v>India, officially the Republic of India, is a country in South Asia. It is the seventh-largest country by area; the most populous country as of June 2023; and from the time of its independence in 1947, the world's most populous democracy. It is ...</v>
    <v>988</v>
    <v>989</v>
    <v>990</v>
    <v>991</v>
    <v>992</v>
    <v>993</v>
    <v>994</v>
    <v>995</v>
    <v>996</v>
    <v>997</v>
    <v>998</v>
    <v>1003</v>
    <v>1004</v>
    <v>1005</v>
    <v>1006</v>
    <v>1007</v>
    <v>1008</v>
    <v>India</v>
    <v>Jana Gana Mana</v>
    <v>1009</v>
    <v>भारत गणराज्य</v>
    <v>1010</v>
    <v>1011</v>
    <v>1012</v>
    <v>1013</v>
    <v>1014</v>
    <v>1015</v>
    <v>275</v>
    <v>1016</v>
    <v>1017</v>
    <v>1018</v>
    <v>1019</v>
    <v>1054</v>
    <v>1055</v>
    <v>1056</v>
    <v>1057</v>
    <v>1058</v>
    <v>India</v>
    <v>1059</v>
    <v>mdp/vdpid/113</v>
  </rv>
  <rv s="0">
    <v>536870912</v>
    <v>Indonesia</v>
    <v>b4a5bd62-2259-21e3-4627-bf249ae6ee84</v>
    <v>en-US</v>
    <v>Map</v>
  </rv>
  <rv s="1">
    <fb>0.31464420364656098</fb>
    <v>23</v>
  </rv>
  <rv s="1">
    <fb>1904570</fb>
    <v>24</v>
  </rv>
  <rv s="1">
    <fb>676000</fb>
    <v>24</v>
  </rv>
  <rv s="1">
    <fb>18.071999999999999</fb>
    <v>25</v>
  </rv>
  <rv s="1">
    <fb>62</fb>
    <v>26</v>
  </rv>
  <rv s="0">
    <v>536870912</v>
    <v>Jakarta</v>
    <v>6261fc72-a172-5cdd-9c67-a7644a026c29</v>
    <v>en-US</v>
    <v>Map</v>
  </rv>
  <rv s="1">
    <fb>563324.54</fb>
    <v>24</v>
  </rv>
  <rv s="1">
    <fb>151.17667507135201</fb>
    <v>27</v>
  </rv>
  <rv s="1">
    <fb>3.0305866496949097E-2</fb>
    <v>23</v>
  </rv>
  <rv s="1">
    <fb>811.90690494758496</fb>
    <v>24</v>
  </rv>
  <rv s="1">
    <fb>2.3109999999999999</fb>
    <v>25</v>
  </rv>
  <rv s="1">
    <fb>0.49860398197419897</fb>
    <v>23</v>
  </rv>
  <rv s="1">
    <fb>66.089475456589</fb>
    <v>28</v>
  </rv>
  <rv s="1">
    <fb>0.63</fb>
    <v>29</v>
  </rv>
  <rv s="1">
    <fb>1119190780752.8</fb>
    <v>30</v>
  </rv>
  <rv s="1">
    <fb>1.0641081999999999</fb>
    <v>23</v>
  </rv>
  <rv s="1">
    <fb>0.3631104</fb>
    <v>23</v>
  </rv>
  <rv s="2">
    <v>17</v>
    <v>21</v>
    <v>132</v>
    <v>7</v>
    <v>0</v>
    <v>Image of Indonesia</v>
  </rv>
  <rv s="1">
    <fb>21.1</fb>
    <v>28</v>
  </rv>
  <rv s="0">
    <v>805306368</v>
    <v>Joko Widodo (President)</v>
    <v>0e561e59-7fca-ba4b-34f2-e33811030cff</v>
    <v>en-US</v>
    <v>Generic</v>
  </rv>
  <rv s="0">
    <v>805306368</v>
    <v>Ma'ruf Amin (Vice president)</v>
    <v>29ff1220-4804-d4c1-f570-57918054b501</v>
    <v>en-US</v>
    <v>Generic</v>
  </rv>
  <rv s="0">
    <v>805306368</v>
    <v>Puan Maharani (Speaker)</v>
    <v>bce5e50c-23e7-f796-fb15-4e7093b47fbe</v>
    <v>en-US</v>
    <v>Generic</v>
  </rv>
  <rv s="0">
    <v>805306368</v>
    <v>Muhammad Syarifuddin (Chief justice)</v>
    <v>ab7548ae-c501-88f1-47f4-abfad7b0d383</v>
    <v>en-US</v>
    <v>Generic</v>
  </rv>
  <rv s="3">
    <v>55</v>
  </rv>
  <rv s="4">
    <v>https://www.bing.com/search?q=indonesia&amp;form=skydnc</v>
    <v>Learn more on Bing</v>
  </rv>
  <rv s="1">
    <fb>71.509</fb>
    <v>28</v>
  </rv>
  <rv s="1">
    <fb>523321860000</fb>
    <v>30</v>
  </rv>
  <rv s="1">
    <fb>177</fb>
    <v>28</v>
  </rv>
  <rv s="1">
    <fb>0.48</fb>
    <v>29</v>
  </rv>
  <rv s="3">
    <v>56</v>
  </rv>
  <rv s="1">
    <fb>0.48302203660000004</fb>
    <v>23</v>
  </rv>
  <rv s="1">
    <fb>0.4269</fb>
    <v>25</v>
  </rv>
  <rv s="1">
    <fb>275439000</fb>
    <v>24</v>
  </rv>
  <rv s="1">
    <fb>0.217</fb>
    <v>23</v>
  </rv>
  <rv s="1">
    <fb>0.30399999999999999</fb>
    <v>23</v>
  </rv>
  <rv s="1">
    <fb>0.46100000000000002</fb>
    <v>23</v>
  </rv>
  <rv s="1">
    <fb>0.105</fb>
    <v>23</v>
  </rv>
  <rv s="1">
    <fb>0.14899999999999999</fb>
    <v>23</v>
  </rv>
  <rv s="1">
    <fb>0.67496002197265592</fb>
    <v>23</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57</v>
  </rv>
  <rv s="1">
    <fb>0.10230449477737399</fb>
    <v>23</v>
  </rv>
  <rv s="3">
    <v>58</v>
  </rv>
  <rv s="1">
    <fb>0.30099999999999999</fb>
    <v>23</v>
  </rv>
  <rv s="1">
    <fb>4.6869997978210398E-2</fb>
    <v>31</v>
  </rv>
  <rv s="1">
    <fb>151509724</fb>
    <v>24</v>
  </rv>
  <rv s="5">
    <v>#VALUE!</v>
    <v>en-US</v>
    <v>b4a5bd62-2259-21e3-4627-bf249ae6ee84</v>
    <v>536870912</v>
    <v>1</v>
    <v>135</v>
    <v>17</v>
    <v>Indonesia</v>
    <v>19</v>
    <v>20</v>
    <v>Map</v>
    <v>21</v>
    <v>136</v>
    <v>ID</v>
    <v>1062</v>
    <v>1063</v>
    <v>1064</v>
    <v>1065</v>
    <v>1066</v>
    <v>1067</v>
    <v>1068</v>
    <v>1069</v>
    <v>1070</v>
    <v>IDR</v>
    <v>Indonesia, officially the Republic of Indonesia, is a country in Southeast Asia and Oceania between the Indian and Pacific oceans. It consists of over 17,000 islands, including Sumatra, Java, Sulawesi, and parts of Borneo and New Guinea. ...</v>
    <v>1071</v>
    <v>1072</v>
    <v>1073</v>
    <v>1074</v>
    <v>1075</v>
    <v>1076</v>
    <v>1077</v>
    <v>1078</v>
    <v>1079</v>
    <v>1080</v>
    <v>1067</v>
    <v>1085</v>
    <v>1086</v>
    <v>1087</v>
    <v>1088</v>
    <v>1089</v>
    <v>1090</v>
    <v>Indonesia</v>
    <v>Indonesia Raya</v>
    <v>1091</v>
    <v>Republik Indonesia</v>
    <v>1092</v>
    <v>1093</v>
    <v>1094</v>
    <v>1095</v>
    <v>1096</v>
    <v>1097</v>
    <v>908</v>
    <v>215</v>
    <v>1098</v>
    <v>1099</v>
    <v>1100</v>
    <v>1134</v>
    <v>1135</v>
    <v>1136</v>
    <v>1137</v>
    <v>1138</v>
    <v>Indonesia</v>
    <v>1139</v>
    <v>mdp/vdpid/111</v>
  </rv>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18</v>
    <v>21</v>
    <v>138</v>
    <v>7</v>
    <v>0</v>
    <v>Image of Japan</v>
  </rv>
  <rv s="1">
    <fb>1.8</fb>
    <v>28</v>
  </rv>
  <rv s="0">
    <v>805306368</v>
    <v>Fumio Kishida (Prime minister)</v>
    <v>4c39adbe-f9a5-4343-12a6-6f72b644c5f9</v>
    <v>en-US</v>
    <v>Generic</v>
  </rv>
  <rv s="3">
    <v>59</v>
  </rv>
  <rv s="4">
    <v>https://www.bing.com/search?q=japan&amp;form=skydnc</v>
    <v>Learn more on Bing</v>
  </rv>
  <rv s="1">
    <fb>84.210975609756105</fb>
    <v>28</v>
  </rv>
  <rv s="1">
    <fb>6191073290000</fb>
    <v>30</v>
  </rv>
  <rv s="1">
    <fb>6.77</fb>
    <v>29</v>
  </rv>
  <rv s="3">
    <v>60</v>
  </rv>
  <rv s="1">
    <fb>0.13097521000000001</fb>
    <v>23</v>
  </rv>
  <rv s="1">
    <fb>2.4115000000000002</fb>
    <v>25</v>
  </rv>
  <rv s="1">
    <fb>125681593</fb>
    <v>24</v>
  </rv>
  <rv s="1">
    <fb>0.26400000000000001</fb>
    <v>23</v>
  </rv>
  <rv s="1">
    <fb>0.41100000000000003</fb>
    <v>23</v>
  </rv>
  <rv s="1">
    <fb>0.16600000000000001</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Hyogo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Oita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61</v>
  </rv>
  <rv s="1">
    <fb>0.11905933830538</fb>
    <v>23</v>
  </rv>
  <rv s="3">
    <v>62</v>
  </rv>
  <rv s="1">
    <fb>0.46700000000000003</fb>
    <v>23</v>
  </rv>
  <rv s="1">
    <fb>2.2909998893737803E-2</fb>
    <v>31</v>
  </rv>
  <rv s="1">
    <fb>115782416</fb>
    <v>24</v>
  </rv>
  <rv s="5">
    <v>#VALUE!</v>
    <v>en-US</v>
    <v>130d0438-fafb-cd2d-1a9e-1dd9c5aa87a9</v>
    <v>536870912</v>
    <v>1</v>
    <v>141</v>
    <v>17</v>
    <v>Japan</v>
    <v>19</v>
    <v>20</v>
    <v>Map</v>
    <v>21</v>
    <v>142</v>
    <v>JP</v>
    <v>1142</v>
    <v>1143</v>
    <v>1144</v>
    <v>1145</v>
    <v>1146</v>
    <v>1147</v>
    <v>1148</v>
    <v>1149</v>
    <v>1150</v>
    <v>JPY</v>
    <v>Japan is an island country in East Asia. It is in the northwest Pacific Ocean and is bordered on the west by the Sea of Japan, extending from the Sea of Okhotsk in the north toward the East China Sea, Philippine Sea, and Taiwan in the south. ...</v>
    <v>1151</v>
    <v>1152</v>
    <v>1153</v>
    <v>1154</v>
    <v>1155</v>
    <v>1156</v>
    <v>1157</v>
    <v>1158</v>
    <v>1159</v>
    <v>1160</v>
    <v>1147</v>
    <v>1162</v>
    <v>1163</v>
    <v>1164</v>
    <v>1165</v>
    <v>266</v>
    <v>1166</v>
    <v>Japan</v>
    <v>Kimigayo</v>
    <v>1167</v>
    <v>日本国</v>
    <v>1168</v>
    <v>1169</v>
    <v>1170</v>
    <v>1095</v>
    <v>1171</v>
    <v>1172</v>
    <v>323</v>
    <v>1016</v>
    <v>325</v>
    <v>1173</v>
    <v>1174</v>
    <v>1220</v>
    <v>1221</v>
    <v>1222</v>
    <v>1223</v>
    <v>1224</v>
    <v>Japan</v>
    <v>1225</v>
    <v>mdp/vdpid/122</v>
  </rv>
  <rv s="0">
    <v>536870912</v>
    <v>Malaysia</v>
    <v>b3abad47-1313-e000-0d95-f77f69e2fcdd</v>
    <v>en-US</v>
    <v>Map</v>
  </rv>
  <rv s="1">
    <fb>0.262577994217014</fb>
    <v>23</v>
  </rv>
  <rv s="1">
    <fb>330803</fb>
    <v>24</v>
  </rv>
  <rv s="1">
    <fb>136000</fb>
    <v>24</v>
  </rv>
  <rv s="1">
    <fb>16.751999999999999</fb>
    <v>25</v>
  </rv>
  <rv s="1">
    <fb>60</fb>
    <v>26</v>
  </rv>
  <rv s="0">
    <v>536870912</v>
    <v>Kuala Lumpur</v>
    <v>22f00b26-6726-bd5c-180f-3ff38ae380f3</v>
    <v>en-US</v>
    <v>Map</v>
  </rv>
  <rv s="1">
    <fb>248288.90299999999</fb>
    <v>24</v>
  </rv>
  <rv s="1">
    <fb>121.463089485086</fb>
    <v>27</v>
  </rv>
  <rv s="1">
    <fb>6.6289186576437599E-3</fb>
    <v>23</v>
  </rv>
  <rv s="1">
    <fb>4651.9587341816004</fb>
    <v>24</v>
  </rv>
  <rv s="1">
    <fb>2.0009999999999999</fb>
    <v>25</v>
  </rv>
  <rv s="1">
    <fb>0.67597623554253505</fb>
    <v>23</v>
  </rv>
  <rv s="1">
    <fb>96.628198897808105</fb>
    <v>28</v>
  </rv>
  <rv s="1">
    <fb>0.45</fb>
    <v>29</v>
  </rv>
  <rv s="1">
    <fb>364701517787.84399</fb>
    <v>30</v>
  </rv>
  <rv s="1">
    <fb>1.052916</fb>
    <v>23</v>
  </rv>
  <rv s="1">
    <fb>0.45125390000000004</fb>
    <v>23</v>
  </rv>
  <rv s="2">
    <v>19</v>
    <v>21</v>
    <v>144</v>
    <v>7</v>
    <v>0</v>
    <v>Image of Malaysia</v>
  </rv>
  <rv s="1">
    <fb>6.7</fb>
    <v>28</v>
  </rv>
  <rv s="0">
    <v>805306368</v>
    <v>Abdullah of Pahang (Monarch)</v>
    <v>6a422b48-a7d4-e27a-b096-ef9fbb32091f</v>
    <v>en-US</v>
    <v>Generic</v>
  </rv>
  <rv s="0">
    <v>805306368</v>
    <v>Anwar Ibrahim (Prime minister)</v>
    <v>f9e60a62-71ef-3f6b-17a3-8c09746c314e</v>
    <v>en-US</v>
    <v>Generic</v>
  </rv>
  <rv s="3">
    <v>63</v>
  </rv>
  <rv s="4">
    <v>https://www.bing.com/search?q=malaysia&amp;form=skydnc</v>
    <v>Learn more on Bing</v>
  </rv>
  <rv s="1">
    <fb>75.997</fb>
    <v>28</v>
  </rv>
  <rv s="1">
    <fb>403957380000</fb>
    <v>30</v>
  </rv>
  <rv s="1">
    <fb>29</fb>
    <v>28</v>
  </rv>
  <rv s="3">
    <v>64</v>
  </rv>
  <rv s="1">
    <fb>0.36668219639999999</fb>
    <v>23</v>
  </rv>
  <rv s="1">
    <fb>1.5132000000000001</fb>
    <v>25</v>
  </rv>
  <rv s="1">
    <fb>32447385</fb>
    <v>24</v>
  </rv>
  <rv s="1">
    <fb>0.22</fb>
    <v>23</v>
  </rv>
  <rv s="1">
    <fb>0.313</fb>
    <v>23</v>
  </rv>
  <rv s="1">
    <fb>0.47299999999999998</fb>
    <v>23</v>
  </rv>
  <rv s="1">
    <fb>5.7999999999999996E-2</fb>
    <v>23</v>
  </rv>
  <rv s="1">
    <fb>0.10099999999999999</fb>
    <v>23</v>
  </rv>
  <rv s="1">
    <fb>0.14800000000000002</fb>
    <v>23</v>
  </rv>
  <rv s="1">
    <fb>0.64289001464843809</fb>
    <v>23</v>
  </rv>
  <rv s="0">
    <v>536870912</v>
    <v>Johor</v>
    <v>592580f7-38da-e7c1-18ba-b603c80b3d69</v>
    <v>en-US</v>
    <v>Map</v>
  </rv>
  <rv s="0">
    <v>536870912</v>
    <v>Kedah</v>
    <v>1ad802ca-b889-4b0f-9d8c-d335fad09909</v>
    <v>en-US</v>
    <v>Map</v>
  </rv>
  <rv s="0">
    <v>536870912</v>
    <v>Kelantan</v>
    <v>4ce27f56-2eb0-d77a-ba8c-f8a03a225785</v>
    <v>en-US</v>
    <v>Map</v>
  </rv>
  <rv s="0">
    <v>536870912</v>
    <v>Malacca</v>
    <v>44a9355d-c135-72b5-fc60-4291a89e003e</v>
    <v>en-US</v>
    <v>Map</v>
  </rv>
  <rv s="0">
    <v>536870912</v>
    <v>Negeri Sembilan</v>
    <v>db3e30e6-d597-cb37-b5d7-d3dd4e8b5d00</v>
    <v>en-US</v>
    <v>Map</v>
  </rv>
  <rv s="0">
    <v>536870912</v>
    <v>Pahang</v>
    <v>829da6d6-c70a-85d9-8d5d-b70db574854d</v>
    <v>en-US</v>
    <v>Map</v>
  </rv>
  <rv s="0">
    <v>536870912</v>
    <v>Perak</v>
    <v>6ca4b1a2-6a13-0976-d0f4-e53c93091316</v>
    <v>en-US</v>
    <v>Map</v>
  </rv>
  <rv s="0">
    <v>536870912</v>
    <v>Perlis</v>
    <v>671c3535-7aad-076b-5860-99706390b32b</v>
    <v>en-US</v>
    <v>Map</v>
  </rv>
  <rv s="0">
    <v>536870912</v>
    <v>Penang</v>
    <v>bf464054-864b-9148-4d71-cc74f94e1588</v>
    <v>en-US</v>
    <v>Map</v>
  </rv>
  <rv s="0">
    <v>536870912</v>
    <v>Sabah</v>
    <v>6441d726-276d-e074-b446-2e6612c2e9e2</v>
    <v>en-US</v>
    <v>Map</v>
  </rv>
  <rv s="0">
    <v>536870912</v>
    <v>Sarawak</v>
    <v>dce6889b-8572-6739-b867-e448e9f0fc11</v>
    <v>en-US</v>
    <v>Map</v>
  </rv>
  <rv s="0">
    <v>536870912</v>
    <v>Selangor</v>
    <v>c58b8d2f-8526-6b7e-ae27-d302d98eb422</v>
    <v>en-US</v>
    <v>Map</v>
  </rv>
  <rv s="0">
    <v>536870912</v>
    <v>Terengganu</v>
    <v>4c426c92-33a4-e12c-382a-d84a8509dfa2</v>
    <v>en-US</v>
    <v>Map</v>
  </rv>
  <rv s="0">
    <v>536870912</v>
    <v>Labuan</v>
    <v>c205ca77-748f-befb-6130-2a7a0eb87dbc</v>
    <v>en-US</v>
    <v>Map</v>
  </rv>
  <rv s="0">
    <v>536870912</v>
    <v>Putrajaya</v>
    <v>703ccf1a-052c-03ee-0599-1ef25799d8dc</v>
    <v>en-US</v>
    <v>Map</v>
  </rv>
  <rv s="3">
    <v>65</v>
  </rv>
  <rv s="1">
    <fb>0.12029692391138701</fb>
    <v>23</v>
  </rv>
  <rv s="1">
    <fb>0.38700000000000001</fb>
    <v>23</v>
  </rv>
  <rv s="1">
    <fb>3.32399988174438E-2</fb>
    <v>31</v>
  </rv>
  <rv s="1">
    <fb>24475766</fb>
    <v>24</v>
  </rv>
  <rv s="6">
    <v>#VALUE!</v>
    <v>en-US</v>
    <v>b3abad47-1313-e000-0d95-f77f69e2fcdd</v>
    <v>536870912</v>
    <v>1</v>
    <v>147</v>
    <v>37</v>
    <v>Malaysia</v>
    <v>19</v>
    <v>20</v>
    <v>Map</v>
    <v>21</v>
    <v>148</v>
    <v>MY</v>
    <v>1228</v>
    <v>1229</v>
    <v>1230</v>
    <v>1231</v>
    <v>1232</v>
    <v>1233</v>
    <v>1234</v>
    <v>1235</v>
    <v>1236</v>
    <v>MYR</v>
    <v>Malaysia is a country in Southeast Asia. The federal constitutional monarchy consists of 13 states and three federal territories, separated by the South China Sea into two regions: Peninsular Malaysia and Borneo's East Malaysia. Peninsular ...</v>
    <v>1237</v>
    <v>1238</v>
    <v>1239</v>
    <v>1240</v>
    <v>1241</v>
    <v>1242</v>
    <v>1243</v>
    <v>1244</v>
    <v>1245</v>
    <v>1246</v>
    <v>1233</v>
    <v>1249</v>
    <v>1250</v>
    <v>1251</v>
    <v>1252</v>
    <v>1253</v>
    <v>936</v>
    <v>Malaysia</v>
    <v>Negaraku</v>
    <v>1254</v>
    <v>Malaysia</v>
    <v>1255</v>
    <v>1256</v>
    <v>1257</v>
    <v>1258</v>
    <v>1259</v>
    <v>1260</v>
    <v>863</v>
    <v>1261</v>
    <v>1262</v>
    <v>1263</v>
    <v>1264</v>
    <v>1280</v>
    <v>1281</v>
    <v>1282</v>
    <v>1283</v>
    <v>Malaysia</v>
    <v>1284</v>
    <v>mdp/vdpid/167</v>
  </rv>
  <rv s="0">
    <v>536870912</v>
    <v>Singapore</v>
    <v>f5ffb882-7230-f3fe-7141-cde5f4b5ed1a</v>
    <v>en-US</v>
    <v>Map</v>
  </rv>
  <rv s="1">
    <fb>9.3088859241440211E-3</fb>
    <v>23</v>
  </rv>
  <rv s="1">
    <fb>719.1</fb>
    <v>24</v>
  </rv>
  <rv s="1">
    <fb>81000</fb>
    <v>24</v>
  </rv>
  <rv s="1">
    <fb>8.8000000000000007</fb>
    <v>25</v>
  </rv>
  <rv s="1">
    <fb>65</fb>
    <v>26</v>
  </rv>
  <rv s="0">
    <v>536870912</v>
    <v>Singapore</v>
    <v>bc4c8e45-2078-1a1c-ec5f-c53a31c59378</v>
    <v>en-US</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2">
    <v>20</v>
    <v>21</v>
    <v>150</v>
    <v>7</v>
    <v>0</v>
    <v>Image of Singapore</v>
  </rv>
  <rv s="1">
    <fb>2.2999999999999998</fb>
    <v>28</v>
  </rv>
  <rv s="0">
    <v>805306368</v>
    <v>Halimah Yacob (President)</v>
    <v>bed2bff2-43ba-eb39-179e-04267a729cb5</v>
    <v>en-US</v>
    <v>Generic</v>
  </rv>
  <rv s="0">
    <v>805306368</v>
    <v>Lee Hsien Loong (Prime minister)</v>
    <v>a1036a81-858a-b9b5-05e7-b0d5b1f8d37d</v>
    <v>en-US</v>
    <v>Generic</v>
  </rv>
  <rv s="3">
    <v>66</v>
  </rv>
  <rv s="4">
    <v>https://www.bing.com/search?q=singapore&amp;form=skydnc</v>
    <v>Learn more on Bing</v>
  </rv>
  <rv s="1">
    <fb>83.146341463414601</fb>
    <v>28</v>
  </rv>
  <rv s="1">
    <fb>697271330000</fb>
    <v>30</v>
  </rv>
  <rv s="3">
    <v>67</v>
  </rv>
  <rv s="1">
    <fb>0.367371636</fb>
    <v>23</v>
  </rv>
  <rv s="1">
    <fb>2.2936000000000001</fb>
    <v>25</v>
  </rv>
  <rv s="1">
    <fb>5453566</fb>
    <v>24</v>
  </rv>
  <rv s="1">
    <fb>0.70538002014160195</fb>
    <v>23</v>
  </rv>
  <rv s="1">
    <fb>0.131417170586072</fb>
    <v>23</v>
  </rv>
  <rv s="3">
    <v>68</v>
  </rv>
  <rv s="1">
    <fb>0.21</fb>
    <v>23</v>
  </rv>
  <rv s="1">
    <fb>4.1090002059936494E-2</fb>
    <v>31</v>
  </rv>
  <rv s="1">
    <fb>5703569</fb>
    <v>24</v>
  </rv>
  <rv s="9">
    <v>#VALUE!</v>
    <v>en-US</v>
    <v>f5ffb882-7230-f3fe-7141-cde5f4b5ed1a</v>
    <v>536870912</v>
    <v>1</v>
    <v>153</v>
    <v>154</v>
    <v>Singapore</v>
    <v>19</v>
    <v>20</v>
    <v>Map</v>
    <v>21</v>
    <v>155</v>
    <v>SG</v>
    <v>1287</v>
    <v>1288</v>
    <v>1289</v>
    <v>1290</v>
    <v>1291</v>
    <v>1292</v>
    <v>1293</v>
    <v>1294</v>
    <v>1295</v>
    <v>SGD</v>
    <v>Singapore, officially the Republic of Singapore, is an island country and city-state in maritime Southeast Asia. It is located about one degree of latitude north of the equator, off the southern tip of the Malay Peninsula, bordering the Strait ...</v>
    <v>1296</v>
    <v>1297</v>
    <v>1298</v>
    <v>1299</v>
    <v>1300</v>
    <v>1301</v>
    <v>1302</v>
    <v>1303</v>
    <v>1304</v>
    <v>1305</v>
    <v>1308</v>
    <v>1309</v>
    <v>1310</v>
    <v>1311</v>
    <v>436</v>
    <v>Singapore</v>
    <v>Majulah Singapura</v>
    <v>1312</v>
    <v>Republic of Singapore</v>
    <v>1313</v>
    <v>1314</v>
    <v>1315</v>
    <v>1316</v>
    <v>1317</v>
    <v>1318</v>
    <v>1319</v>
    <v>1320</v>
    <v>Singapore</v>
    <v>1321</v>
    <v>mdp/vdpid/215</v>
  </rv>
  <rv s="0">
    <v>536870912</v>
    <v>Thailand</v>
    <v>588bd4b9-e440-b7eb-2cab-2a54c0458548</v>
    <v>en-US</v>
    <v>Map</v>
  </rv>
  <rv s="1">
    <fb>0.43277417839456594</fb>
    <v>23</v>
  </rv>
  <rv s="1">
    <fb>513119.5</fb>
    <v>24</v>
  </rv>
  <rv s="1">
    <fb>455000</fb>
    <v>24</v>
  </rv>
  <rv s="1">
    <fb>10.343999999999999</fb>
    <v>25</v>
  </rv>
  <rv s="1">
    <fb>66</fb>
    <v>26</v>
  </rv>
  <rv s="0">
    <v>536870912</v>
    <v>Bangkok</v>
    <v>651e796f-a780-c032-4e9c-23e5f5fe5854</v>
    <v>en-US</v>
    <v>Map</v>
  </rv>
  <rv s="1">
    <fb>283763.46100000001</fb>
    <v>24</v>
  </rv>
  <rv s="1">
    <fb>113.265649996346</fb>
    <v>27</v>
  </rv>
  <rv s="1">
    <fb>7.0672860131430508E-3</fb>
    <v>23</v>
  </rv>
  <rv s="1">
    <fb>2538.79638035364</fb>
    <v>24</v>
  </rv>
  <rv s="1">
    <fb>1.5249999999999999</fb>
    <v>25</v>
  </rv>
  <rv s="1">
    <fb>0.32157607312728798</fb>
    <v>23</v>
  </rv>
  <rv s="1">
    <fb>79.839022650550007</fb>
    <v>28</v>
  </rv>
  <rv s="1">
    <fb>543649976165.63</fb>
    <v>30</v>
  </rv>
  <rv s="1">
    <fb>0.99774360000000006</fb>
    <v>23</v>
  </rv>
  <rv s="1">
    <fb>0.49286810000000003</fb>
    <v>23</v>
  </rv>
  <rv s="2">
    <v>21</v>
    <v>21</v>
    <v>157</v>
    <v>7</v>
    <v>0</v>
    <v>Image of Thailand</v>
  </rv>
  <rv s="1">
    <fb>7.8</fb>
    <v>28</v>
  </rv>
  <rv s="0">
    <v>805306368</v>
    <v>Vajiralongkorn (Monarch)</v>
    <v>838f8fba-7ce1-3cb6-caf3-eadcdd6d67c4</v>
    <v>en-US</v>
    <v>Generic</v>
  </rv>
  <rv s="0">
    <v>805306368</v>
    <v>Srettha Thavisin (Prime minister)</v>
    <v>df7e055c-ffb1-de44-0c65-3085de0bdc08</v>
    <v>en-US</v>
    <v>Generic</v>
  </rv>
  <rv s="3">
    <v>69</v>
  </rv>
  <rv s="4">
    <v>https://www.bing.com/search?q=thailand&amp;form=skydnc</v>
    <v>Learn more on Bing</v>
  </rv>
  <rv s="1">
    <fb>76.930999999999997</fb>
    <v>28</v>
  </rv>
  <rv s="1">
    <fb>569228320000</fb>
    <v>30</v>
  </rv>
  <rv s="1">
    <fb>37</fb>
    <v>28</v>
  </rv>
  <rv s="3">
    <v>70</v>
  </rv>
  <rv s="1">
    <fb>0.11765354909999999</fb>
    <v>23</v>
  </rv>
  <rv s="1">
    <fb>0.80500000000000005</fb>
    <v>25</v>
  </rv>
  <rv s="1">
    <fb>71601103</fb>
    <v>24</v>
  </rv>
  <rv s="1">
    <fb>0.222</fb>
    <v>23</v>
  </rv>
  <rv s="1">
    <fb>0.28100000000000003</fb>
    <v>23</v>
  </rv>
  <rv s="1">
    <fb>0.44</fb>
    <v>23</v>
  </rv>
  <rv s="1">
    <fb>7.2000000000000008E-2</fb>
    <v>23</v>
  </rv>
  <rv s="1">
    <fb>0.155</fb>
    <v>23</v>
  </rv>
  <rv s="1">
    <fb>0.67325996398925791</fb>
    <v>23</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 Ram</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 Sa Ket</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 Buri</v>
    <v>51facd2e-84fc-996e-b57b-f36d2fd58e2f</v>
    <v>en-US</v>
    <v>Map</v>
  </rv>
  <rv s="0">
    <v>536870912</v>
    <v>Prachin Buri</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71</v>
  </rv>
  <rv s="1">
    <fb>0.14927746956191601</fb>
    <v>23</v>
  </rv>
  <rv s="3">
    <v>72</v>
  </rv>
  <rv s="1">
    <fb>0.29499999999999998</fb>
    <v>23</v>
  </rv>
  <rv s="1">
    <fb>7.5400000810623199E-3</fb>
    <v>31</v>
  </rv>
  <rv s="1">
    <fb>35294600</fb>
    <v>24</v>
  </rv>
  <rv s="5">
    <v>#VALUE!</v>
    <v>en-US</v>
    <v>588bd4b9-e440-b7eb-2cab-2a54c0458548</v>
    <v>536870912</v>
    <v>1</v>
    <v>160</v>
    <v>17</v>
    <v>Thailand</v>
    <v>19</v>
    <v>20</v>
    <v>Map</v>
    <v>21</v>
    <v>161</v>
    <v>TH</v>
    <v>1324</v>
    <v>1325</v>
    <v>1326</v>
    <v>1327</v>
    <v>1328</v>
    <v>1329</v>
    <v>1330</v>
    <v>1331</v>
    <v>1332</v>
    <v>THB</v>
    <v>Thailand, officially the Kingdom of Thailand and historically known as Siam, is a country in Southeast Asia on the Indochinese Peninsula. With a population of 66 million, it spans 513,115 square kilometres. Thailand is bordered to the northwest ...</v>
    <v>1333</v>
    <v>1334</v>
    <v>1335</v>
    <v>1336</v>
    <v>14</v>
    <v>1337</v>
    <v>1338</v>
    <v>1339</v>
    <v>1340</v>
    <v>1341</v>
    <v>1329</v>
    <v>1344</v>
    <v>1345</v>
    <v>1346</v>
    <v>1347</v>
    <v>1348</v>
    <v>1155</v>
    <v>Thailand</v>
    <v>Thai National Anthem</v>
    <v>1349</v>
    <v>ราชอาณาจักรไทย</v>
    <v>1350</v>
    <v>1351</v>
    <v>1352</v>
    <v>1353</v>
    <v>1354</v>
    <v>1355</v>
    <v>739</v>
    <v>1356</v>
    <v>1017</v>
    <v>1357</v>
    <v>1358</v>
    <v>1434</v>
    <v>1435</v>
    <v>1436</v>
    <v>1437</v>
    <v>1438</v>
    <v>Thailand</v>
    <v>1439</v>
    <v>mdp/vdpid/227</v>
  </rv>
  <rv s="0">
    <v>536870912</v>
    <v>Norway</v>
    <v>51b69cb2-1924-e989-590b-712a7070a30f</v>
    <v>en-US</v>
    <v>Map</v>
  </rv>
  <rv s="1">
    <fb>2.6940783293922001E-2</fb>
    <v>23</v>
  </rv>
  <rv s="1">
    <fb>385207</fb>
    <v>24</v>
  </rv>
  <rv s="1">
    <fb>23000</fb>
    <v>24</v>
  </rv>
  <rv s="1">
    <fb>10.4</fb>
    <v>25</v>
  </rv>
  <rv s="1">
    <fb>47</fb>
    <v>26</v>
  </rv>
  <rv s="0">
    <v>536870912</v>
    <v>Oslo</v>
    <v>962ca6d0-04b2-b258-d6d5-ec31f6cc1d83</v>
    <v>en-US</v>
    <v>Map</v>
  </rv>
  <rv s="1">
    <fb>41022.728999999999</fb>
    <v>24</v>
  </rv>
  <rv s="1">
    <fb>120.269658854402</fb>
    <v>27</v>
  </rv>
  <rv s="1">
    <fb>2.1677300330540498E-2</fb>
    <v>23</v>
  </rv>
  <rv s="1">
    <fb>22999.934595128299</fb>
    <v>24</v>
  </rv>
  <rv s="1">
    <fb>0.331778599014523</fb>
    <v>23</v>
  </rv>
  <rv s="1">
    <fb>56.951628649981103</fb>
    <v>28</v>
  </rv>
  <rv s="1">
    <fb>1.78</fb>
    <v>29</v>
  </rv>
  <rv s="1">
    <fb>403336363636.36401</fb>
    <v>30</v>
  </rv>
  <rv s="1">
    <fb>1.0026021000000001</fb>
    <v>23</v>
  </rv>
  <rv s="1">
    <fb>0.81992350000000003</fb>
    <v>23</v>
  </rv>
  <rv s="2">
    <v>22</v>
    <v>21</v>
    <v>163</v>
    <v>7</v>
    <v>0</v>
    <v>Image of Norway</v>
  </rv>
  <rv s="1">
    <fb>2.1</fb>
    <v>28</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73</v>
  </rv>
  <rv s="4">
    <v>https://www.bing.com/search?q=norway&amp;form=skydnc</v>
    <v>Learn more on Bing</v>
  </rv>
  <rv s="1">
    <fb>82.758536585365903</fb>
    <v>28</v>
  </rv>
  <rv s="1">
    <fb>295548630000</fb>
    <v>30</v>
  </rv>
  <rv s="3">
    <v>74</v>
  </rv>
  <rv s="1">
    <fb>0.14272576140000001</fb>
    <v>23</v>
  </rv>
  <rv s="1">
    <fb>2.9163999999999999</fb>
    <v>25</v>
  </rv>
  <rv s="1">
    <fb>5457127</fb>
    <v>24</v>
  </rv>
  <rv s="1">
    <fb>0.21600000000000003</fb>
    <v>23</v>
  </rv>
  <rv s="1">
    <fb>0.36</fb>
    <v>23</v>
  </rv>
  <rv s="1">
    <fb>8.900000000000001E-2</fb>
    <v>23</v>
  </rv>
  <rv s="1">
    <fb>0.14300000000000002</fb>
    <v>23</v>
  </rv>
  <rv s="1">
    <fb>0.63804000854492204</fb>
    <v>23</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Jan Mayen</v>
    <v>f56eb1ba-33b5-1e64-ae2b-258d8244ad2c</v>
    <v>en-US</v>
    <v>Map</v>
  </rv>
  <rv s="0">
    <v>536870912</v>
    <v>Bouvet Island</v>
    <v>0df9c34a-d3f0-c09f-d594-0d17e4ce27da</v>
    <v>en-US</v>
    <v>Map</v>
  </rv>
  <rv s="3">
    <v>75</v>
  </rv>
  <rv s="1">
    <fb>0.238617503950879</fb>
    <v>23</v>
  </rv>
  <rv s="1">
    <fb>0.36200000000000004</fb>
    <v>23</v>
  </rv>
  <rv s="1">
    <fb>3.3459999561309801E-2</fb>
    <v>31</v>
  </rv>
  <rv s="1">
    <fb>4418218</fb>
    <v>24</v>
  </rv>
  <rv s="8">
    <v>#VALUE!</v>
    <v>en-US</v>
    <v>51b69cb2-1924-e989-590b-712a7070a30f</v>
    <v>536870912</v>
    <v>1</v>
    <v>166</v>
    <v>98</v>
    <v>Norway</v>
    <v>19</v>
    <v>20</v>
    <v>Map</v>
    <v>21</v>
    <v>167</v>
    <v>NO</v>
    <v>1442</v>
    <v>1443</v>
    <v>1444</v>
    <v>1445</v>
    <v>1446</v>
    <v>1447</v>
    <v>1448</v>
    <v>1449</v>
    <v>1450</v>
    <v>NOK</v>
    <v>Norway, officially the Kingdom of Norway, is a Nordic country located on the Scandinavian Peninsula in Northern Europe. The remote Arctic island of Jan Mayen and the archipelago of Svalbard also form part of the Kingdom of Norway. Bouvet Island, ...</v>
    <v>1451</v>
    <v>300</v>
    <v>1452</v>
    <v>1453</v>
    <v>1454</v>
    <v>1455</v>
    <v>1456</v>
    <v>1457</v>
    <v>1458</v>
    <v>1459</v>
    <v>1447</v>
    <v>1463</v>
    <v>1464</v>
    <v>1465</v>
    <v>1466</v>
    <v>555</v>
    <v>Norway</v>
    <v>Ja, vi elsker dette landet</v>
    <v>1467</v>
    <v>Kongeriket Norge</v>
    <v>1468</v>
    <v>1469</v>
    <v>1470</v>
    <v>320</v>
    <v>1471</v>
    <v>1472</v>
    <v>275</v>
    <v>1473</v>
    <v>1474</v>
    <v>864</v>
    <v>1475</v>
    <v>1489</v>
    <v>1490</v>
    <v>344</v>
    <v>1491</v>
    <v>1492</v>
    <v>Norway</v>
    <v>1493</v>
    <v>mdp/vdpid/177</v>
  </rv>
  <rv s="0">
    <v>536870912</v>
    <v>Poland</v>
    <v>1d6059a2-d1f1-d2d7-4261-dc7cd5cdb84b</v>
    <v>en-US</v>
    <v>Map</v>
  </rv>
  <rv s="1">
    <fb>0.469447075345374</fb>
    <v>23</v>
  </rv>
  <rv s="1">
    <fb>312683</fb>
    <v>24</v>
  </rv>
  <rv s="1">
    <fb>191000</fb>
    <v>24</v>
  </rv>
  <rv s="1">
    <fb>10.199999999999999</fb>
    <v>25</v>
  </rv>
  <rv s="1">
    <fb>48</fb>
    <v>26</v>
  </rv>
  <rv s="0">
    <v>536870912</v>
    <v>Warsaw</v>
    <v>c79f30ac-b9a3-0949-6bdf-956551e5fc81</v>
    <v>en-US</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2">
    <v>23</v>
    <v>21</v>
    <v>169</v>
    <v>7</v>
    <v>0</v>
    <v>Image of Poland</v>
  </rv>
  <rv s="1">
    <fb>3.8</fb>
    <v>28</v>
  </rv>
  <rv s="0">
    <v>805306368</v>
    <v>Andrzej Duda (President)</v>
    <v>fd659446-93d5-1c05-f501-9d102870ea43</v>
    <v>en-US</v>
    <v>Generic</v>
  </rv>
  <rv s="0">
    <v>805306368</v>
    <v>Donald Tusk (Prime minister)</v>
    <v>42c246ff-649b-1da6-5b06-8c6201991d6a</v>
    <v>en-US</v>
    <v>Generic</v>
  </rv>
  <rv s="3">
    <v>76</v>
  </rv>
  <rv s="4">
    <v>https://www.bing.com/search?q=poland&amp;form=skydnc</v>
    <v>Learn more on Bing</v>
  </rv>
  <rv s="1">
    <fb>77.602439024390307</fb>
    <v>28</v>
  </rv>
  <rv s="1">
    <fb>151618860000</fb>
    <v>30</v>
  </rv>
  <rv s="1">
    <fb>2.93</fb>
    <v>29</v>
  </rv>
  <rv s="3">
    <v>77</v>
  </rv>
  <rv s="1">
    <fb>0.23246298360000001</fb>
    <v>23</v>
  </rv>
  <rv s="1">
    <fb>2.3788</fb>
    <v>25</v>
  </rv>
  <rv s="1">
    <fb>37561599</fb>
    <v>24</v>
  </rv>
  <rv s="1">
    <fb>0.23499999999999999</fb>
    <v>23</v>
  </rv>
  <rv s="1">
    <fb>0.13400000000000001</fb>
    <v>23</v>
  </rv>
  <rv s="1">
    <fb>0.56701000213622998</fb>
    <v>23</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78</v>
  </rv>
  <rv s="1">
    <fb>0.174019561608692</fb>
    <v>23</v>
  </rv>
  <rv s="3">
    <v>79</v>
  </rv>
  <rv s="1">
    <fb>0.40799999999999997</fb>
    <v>23</v>
  </rv>
  <rv s="1">
    <fb>3.4739999771118198E-2</fb>
    <v>31</v>
  </rv>
  <rv s="1">
    <fb>22796574</fb>
    <v>24</v>
  </rv>
  <rv s="5">
    <v>#VALUE!</v>
    <v>en-US</v>
    <v>1d6059a2-d1f1-d2d7-4261-dc7cd5cdb84b</v>
    <v>536870912</v>
    <v>1</v>
    <v>172</v>
    <v>17</v>
    <v>Poland</v>
    <v>19</v>
    <v>20</v>
    <v>Map</v>
    <v>21</v>
    <v>173</v>
    <v>PL</v>
    <v>1496</v>
    <v>1497</v>
    <v>1498</v>
    <v>1499</v>
    <v>1500</v>
    <v>1501</v>
    <v>1502</v>
    <v>1503</v>
    <v>1504</v>
    <v>PLN</v>
    <v>Poland, officially the Republic of Poland, is a country in Central Europe. It extends from the Baltic Sea in the north to the Sudetes and Carpathian Mountains in the south, bordered by Lithuania and Russia to the northeast, Belarus and Ukraine ...</v>
    <v>1505</v>
    <v>1506</v>
    <v>1507</v>
    <v>1508</v>
    <v>1509</v>
    <v>1510</v>
    <v>1511</v>
    <v>1512</v>
    <v>1513</v>
    <v>1514</v>
    <v>1501</v>
    <v>1517</v>
    <v>1518</v>
    <v>1519</v>
    <v>1520</v>
    <v>555</v>
    <v>1521</v>
    <v>Poland</v>
    <v>Poland Is Not Yet Lost</v>
    <v>1522</v>
    <v>Rzeczpospolita Polska</v>
    <v>1523</v>
    <v>1524</v>
    <v>1525</v>
    <v>35</v>
    <v>1526</v>
    <v>862</v>
    <v>444</v>
    <v>740</v>
    <v>1527</v>
    <v>806</v>
    <v>1528</v>
    <v>1545</v>
    <v>1546</v>
    <v>1547</v>
    <v>1548</v>
    <v>1549</v>
    <v>Poland</v>
    <v>1550</v>
    <v>mdp/vdpid/191</v>
  </rv>
  <rv s="0">
    <v>536870912</v>
    <v>Philippines</v>
    <v>fe47e182-43d6-4546-8bee-86609d6dd805</v>
    <v>en-US</v>
    <v>Map</v>
  </rv>
  <rv s="1">
    <fb>0.41721165777911901</fb>
    <v>23</v>
  </rv>
  <rv s="1">
    <fb>343448</fb>
    <v>24</v>
  </rv>
  <rv s="1">
    <fb>153000</fb>
    <v>24</v>
  </rv>
  <rv s="1">
    <fb>20.545999999999999</fb>
    <v>25</v>
  </rv>
  <rv s="1">
    <fb>63</fb>
    <v>26</v>
  </rv>
  <rv s="0">
    <v>536870912</v>
    <v>Manila</v>
    <v>33b0f709-fe63-e51f-6893-aa4d29b074e5</v>
    <v>en-US</v>
    <v>Map</v>
  </rv>
  <rv s="1">
    <fb>122287.11599999999</fb>
    <v>24</v>
  </rv>
  <rv s="1">
    <fb>129.61325724947901</fb>
    <v>27</v>
  </rv>
  <rv s="1">
    <fb>2.4802785871650902E-2</fb>
    <v>23</v>
  </rv>
  <rv s="1">
    <fb>696.34678005973694</fb>
    <v>24</v>
  </rv>
  <rv s="1">
    <fb>2.5760000000000001</fb>
    <v>25</v>
  </rv>
  <rv s="1">
    <fb>0.27769393299124701</fb>
    <v>23</v>
  </rv>
  <rv s="1">
    <fb>62.434896292186799</fb>
    <v>28</v>
  </rv>
  <rv s="1">
    <fb>0.86</fb>
    <v>29</v>
  </rv>
  <rv s="1">
    <fb>376795508679.67603</fb>
    <v>30</v>
  </rv>
  <rv s="1">
    <fb>1.0750976999999999</fb>
    <v>23</v>
  </rv>
  <rv s="1">
    <fb>0.35475459999999998</fb>
    <v>23</v>
  </rv>
  <rv s="2">
    <v>24</v>
    <v>21</v>
    <v>175</v>
    <v>7</v>
    <v>0</v>
    <v>Image of Philippines</v>
  </rv>
  <rv s="1">
    <fb>22.5</fb>
    <v>28</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80</v>
  </rv>
  <rv s="4">
    <v>https://www.bing.com/search?q=philippines&amp;form=skydnc</v>
    <v>Learn more on Bing</v>
  </rv>
  <rv s="1">
    <fb>71.094999999999999</fb>
    <v>28</v>
  </rv>
  <rv s="1">
    <fb>275302190000</fb>
    <v>30</v>
  </rv>
  <rv s="1">
    <fb>121</fb>
    <v>28</v>
  </rv>
  <rv s="1">
    <fb>1.1200000000000001</fb>
    <v>29</v>
  </rv>
  <rv s="3">
    <v>81</v>
  </rv>
  <rv s="1">
    <fb>0.53544594130000001</fb>
    <v>23</v>
  </rv>
  <rv s="1">
    <fb>0.60040000000000004</fb>
    <v>25</v>
  </rv>
  <rv s="1">
    <fb>115559009</fb>
    <v>24</v>
  </rv>
  <rv s="1">
    <fb>0.20699999999999999</fb>
    <v>23</v>
  </rv>
  <rv s="1">
    <fb>0.34799999999999998</fb>
    <v>23</v>
  </rv>
  <rv s="1">
    <fb>0.50900000000000001</fb>
    <v>23</v>
  </rv>
  <rv s="1">
    <fb>5.7000000000000002E-2</fb>
    <v>23</v>
  </rv>
  <rv s="1">
    <fb>9.3000000000000013E-2</fb>
    <v>23</v>
  </rv>
  <rv s="1">
    <fb>0.13500000000000001</fb>
    <v>23</v>
  </rv>
  <rv s="1">
    <fb>0.59620998382568402</fb>
    <v>23</v>
  </rv>
  <rv s="0">
    <v>536870912</v>
    <v>Metro Manila</v>
    <v>e5a6d40a-2913-d8a4-ff60-8a8e01d06a21</v>
    <v>en-US</v>
    <v>Map</v>
  </rv>
  <rv s="3">
    <v>82</v>
  </rv>
  <rv s="1">
    <fb>0.14047533279066099</fb>
    <v>23</v>
  </rv>
  <rv s="3">
    <v>83</v>
  </rv>
  <rv s="1">
    <fb>0.43099999999999999</fb>
    <v>23</v>
  </rv>
  <rv s="1">
    <fb>2.1500000953674298E-2</fb>
    <v>31</v>
  </rv>
  <rv s="1">
    <fb>50975903</fb>
    <v>24</v>
  </rv>
  <rv s="5">
    <v>#VALUE!</v>
    <v>en-US</v>
    <v>fe47e182-43d6-4546-8bee-86609d6dd805</v>
    <v>536870912</v>
    <v>1</v>
    <v>178</v>
    <v>17</v>
    <v>Philippines</v>
    <v>19</v>
    <v>20</v>
    <v>Map</v>
    <v>21</v>
    <v>179</v>
    <v>PH</v>
    <v>1553</v>
    <v>1554</v>
    <v>1555</v>
    <v>1556</v>
    <v>1557</v>
    <v>1558</v>
    <v>1559</v>
    <v>1560</v>
    <v>1561</v>
    <v>PHP</v>
    <v>The Philippines, officially the Republic of the Philippines, is an archipelagic country in Southeast Asia. In the western Pacific Ocean, it consists of 7,641 islands, with a total area of roughly 300,000 square kilometers, which are broadly ...</v>
    <v>1562</v>
    <v>1563</v>
    <v>1564</v>
    <v>1565</v>
    <v>1566</v>
    <v>1567</v>
    <v>1568</v>
    <v>1569</v>
    <v>1570</v>
    <v>1571</v>
    <v>1572</v>
    <v>1577</v>
    <v>1578</v>
    <v>1579</v>
    <v>1580</v>
    <v>1581</v>
    <v>1582</v>
    <v>Philippines</v>
    <v>Lupang Hinirang</v>
    <v>1583</v>
    <v>Republic of the Philippines</v>
    <v>1584</v>
    <v>1585</v>
    <v>1586</v>
    <v>1587</v>
    <v>1588</v>
    <v>1589</v>
    <v>863</v>
    <v>1590</v>
    <v>1591</v>
    <v>1592</v>
    <v>1593</v>
    <v>1595</v>
    <v>1596</v>
    <v>1597</v>
    <v>1598</v>
    <v>1599</v>
    <v>Philippines</v>
    <v>1600</v>
    <v>mdp/vdpid/201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80">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9">
      <v>0</v>
      <v>32</v>
      <v>33</v>
      <v>33</v>
      <v>3</v>
      <v>33</v>
      <v>33</v>
      <v>33</v>
      <v>34</v>
      <v>33</v>
      <v>33</v>
      <v>34</v>
      <v>33</v>
      <v>33</v>
      <v>35</v>
      <v>5</v>
      <v>32</v>
      <v>35</v>
      <v>7</v>
      <v>33</v>
      <v>35</v>
      <v>8</v>
      <v>9</v>
      <v>10</v>
      <v>35</v>
      <v>35</v>
      <v>33</v>
      <v>35</v>
      <v>11</v>
      <v>12</v>
      <v>13</v>
      <v>14</v>
      <v>35</v>
      <v>32</v>
      <v>35</v>
      <v>35</v>
      <v>35</v>
      <v>35</v>
      <v>35</v>
      <v>35</v>
      <v>35</v>
      <v>35</v>
      <v>35</v>
      <v>35</v>
      <v>15</v>
    </spb>
    <spb s="2">
      <v>1</v>
      <v>Name</v>
      <v>LearnMoreOnLink</v>
    </spb>
    <spb s="7">
      <v>2019</v>
      <v>2019</v>
      <v>square km</v>
      <v>per thousand (2018)</v>
      <v>2021</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9">
      <v>0</v>
      <v>39</v>
      <v>40</v>
      <v>40</v>
      <v>3</v>
      <v>40</v>
      <v>40</v>
      <v>40</v>
      <v>41</v>
      <v>40</v>
      <v>40</v>
      <v>41</v>
      <v>40</v>
      <v>40</v>
      <v>42</v>
      <v>5</v>
      <v>39</v>
      <v>42</v>
      <v>7</v>
      <v>40</v>
      <v>42</v>
      <v>8</v>
      <v>9</v>
      <v>10</v>
      <v>42</v>
      <v>42</v>
      <v>40</v>
      <v>42</v>
      <v>11</v>
      <v>12</v>
      <v>13</v>
      <v>14</v>
      <v>42</v>
      <v>39</v>
      <v>42</v>
      <v>42</v>
      <v>42</v>
      <v>42</v>
      <v>42</v>
      <v>42</v>
      <v>42</v>
      <v>42</v>
      <v>42</v>
      <v>42</v>
      <v>15</v>
    </spb>
    <spb s="7">
      <v>2019</v>
      <v>2019</v>
      <v>square km</v>
      <v>per thousand (2018)</v>
      <v>2021</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9">
      <v>0</v>
      <v>45</v>
      <v>46</v>
      <v>46</v>
      <v>3</v>
      <v>46</v>
      <v>46</v>
      <v>46</v>
      <v>47</v>
      <v>46</v>
      <v>46</v>
      <v>47</v>
      <v>46</v>
      <v>46</v>
      <v>48</v>
      <v>5</v>
      <v>45</v>
      <v>48</v>
      <v>7</v>
      <v>46</v>
      <v>48</v>
      <v>8</v>
      <v>9</v>
      <v>10</v>
      <v>48</v>
      <v>48</v>
      <v>46</v>
      <v>48</v>
      <v>11</v>
      <v>12</v>
      <v>13</v>
      <v>14</v>
      <v>48</v>
      <v>45</v>
      <v>48</v>
      <v>48</v>
      <v>48</v>
      <v>48</v>
      <v>48</v>
      <v>48</v>
      <v>48</v>
      <v>48</v>
      <v>48</v>
      <v>48</v>
      <v>15</v>
    </spb>
    <spb s="7">
      <v>2019</v>
      <v>2019</v>
      <v>square km</v>
      <v>per thousand (2018)</v>
      <v>2021</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9">
      <v>0</v>
      <v>51</v>
      <v>52</v>
      <v>52</v>
      <v>3</v>
      <v>52</v>
      <v>52</v>
      <v>52</v>
      <v>53</v>
      <v>52</v>
      <v>52</v>
      <v>53</v>
      <v>52</v>
      <v>52</v>
      <v>54</v>
      <v>5</v>
      <v>51</v>
      <v>54</v>
      <v>7</v>
      <v>52</v>
      <v>54</v>
      <v>8</v>
      <v>9</v>
      <v>10</v>
      <v>54</v>
      <v>54</v>
      <v>52</v>
      <v>54</v>
      <v>11</v>
      <v>12</v>
      <v>13</v>
      <v>14</v>
      <v>54</v>
      <v>51</v>
      <v>54</v>
      <v>54</v>
      <v>54</v>
      <v>54</v>
      <v>54</v>
      <v>54</v>
      <v>54</v>
      <v>54</v>
      <v>54</v>
      <v>54</v>
      <v>15</v>
    </spb>
    <spb s="7">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10">
      <v>0</v>
      <v>57</v>
      <v>58</v>
      <v>58</v>
      <v>3</v>
      <v>58</v>
      <v>58</v>
      <v>58</v>
      <v>59</v>
      <v>58</v>
      <v>58</v>
      <v>58</v>
      <v>58</v>
      <v>60</v>
      <v>5</v>
      <v>57</v>
      <v>60</v>
      <v>7</v>
      <v>58</v>
      <v>60</v>
      <v>8</v>
      <v>9</v>
      <v>10</v>
      <v>60</v>
      <v>60</v>
      <v>58</v>
      <v>60</v>
      <v>11</v>
      <v>12</v>
      <v>13</v>
      <v>14</v>
      <v>60</v>
      <v>57</v>
      <v>60</v>
      <v>60</v>
      <v>60</v>
      <v>60</v>
      <v>60</v>
      <v>60</v>
      <v>60</v>
      <v>60</v>
      <v>60</v>
      <v>60</v>
      <v>15</v>
    </spb>
    <spb s="2">
      <v>2</v>
      <v>Name</v>
      <v>LearnMoreOnLink</v>
    </spb>
    <spb s="7">
      <v>2019</v>
      <v>2019</v>
      <v>square km</v>
      <v>per thousand (2018)</v>
      <v>2021</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0</v>
      <v>64</v>
      <v>65</v>
      <v>65</v>
      <v>3</v>
      <v>65</v>
      <v>65</v>
      <v>65</v>
      <v>66</v>
      <v>65</v>
      <v>65</v>
      <v>66</v>
      <v>65</v>
      <v>65</v>
      <v>67</v>
      <v>5</v>
      <v>64</v>
      <v>67</v>
      <v>7</v>
      <v>65</v>
      <v>67</v>
      <v>8</v>
      <v>9</v>
      <v>10</v>
      <v>67</v>
      <v>67</v>
      <v>65</v>
      <v>67</v>
      <v>11</v>
      <v>12</v>
      <v>13</v>
      <v>14</v>
      <v>67</v>
      <v>64</v>
      <v>67</v>
      <v>67</v>
      <v>67</v>
      <v>67</v>
      <v>67</v>
      <v>67</v>
      <v>67</v>
      <v>67</v>
      <v>67</v>
      <v>67</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9">
      <v>0</v>
      <v>70</v>
      <v>71</v>
      <v>71</v>
      <v>3</v>
      <v>71</v>
      <v>71</v>
      <v>71</v>
      <v>72</v>
      <v>71</v>
      <v>71</v>
      <v>72</v>
      <v>71</v>
      <v>71</v>
      <v>73</v>
      <v>5</v>
      <v>70</v>
      <v>73</v>
      <v>7</v>
      <v>71</v>
      <v>73</v>
      <v>8</v>
      <v>9</v>
      <v>10</v>
      <v>73</v>
      <v>73</v>
      <v>71</v>
      <v>73</v>
      <v>11</v>
      <v>12</v>
      <v>13</v>
      <v>14</v>
      <v>73</v>
      <v>70</v>
      <v>73</v>
      <v>73</v>
      <v>73</v>
      <v>73</v>
      <v>73</v>
      <v>73</v>
      <v>73</v>
      <v>73</v>
      <v>73</v>
      <v>73</v>
      <v>15</v>
    </spb>
    <spb s="7">
      <v>2019</v>
      <v>2019</v>
      <v>square km</v>
      <v>per thousand (2018)</v>
      <v>2021</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0">
      <v>0</v>
      <v>76</v>
      <v>77</v>
      <v>77</v>
      <v>3</v>
      <v>77</v>
      <v>77</v>
      <v>77</v>
      <v>78</v>
      <v>77</v>
      <v>77</v>
      <v>77</v>
      <v>77</v>
      <v>79</v>
      <v>5</v>
      <v>76</v>
      <v>79</v>
      <v>7</v>
      <v>77</v>
      <v>79</v>
      <v>8</v>
      <v>9</v>
      <v>10</v>
      <v>79</v>
      <v>79</v>
      <v>77</v>
      <v>79</v>
      <v>11</v>
      <v>12</v>
      <v>13</v>
      <v>14</v>
      <v>79</v>
      <v>76</v>
      <v>79</v>
      <v>79</v>
      <v>79</v>
      <v>79</v>
      <v>79</v>
      <v>79</v>
      <v>79</v>
      <v>79</v>
      <v>79</v>
      <v>79</v>
      <v>15</v>
    </spb>
    <spb s="7">
      <v>2019</v>
      <v>2019</v>
      <v>square km</v>
      <v>per thousand (2018)</v>
      <v>2021</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9">
      <v>0</v>
      <v>82</v>
      <v>83</v>
      <v>83</v>
      <v>3</v>
      <v>83</v>
      <v>83</v>
      <v>83</v>
      <v>84</v>
      <v>83</v>
      <v>83</v>
      <v>84</v>
      <v>83</v>
      <v>83</v>
      <v>85</v>
      <v>5</v>
      <v>82</v>
      <v>85</v>
      <v>7</v>
      <v>83</v>
      <v>85</v>
      <v>8</v>
      <v>9</v>
      <v>10</v>
      <v>85</v>
      <v>85</v>
      <v>83</v>
      <v>85</v>
      <v>11</v>
      <v>12</v>
      <v>13</v>
      <v>14</v>
      <v>85</v>
      <v>82</v>
      <v>85</v>
      <v>85</v>
      <v>85</v>
      <v>85</v>
      <v>85</v>
      <v>85</v>
      <v>85</v>
      <v>85</v>
      <v>85</v>
      <v>85</v>
      <v>15</v>
    </spb>
    <spb s="7">
      <v>2019</v>
      <v>2019</v>
      <v>square km</v>
      <v>per thousand (2018)</v>
      <v>2021</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9">
      <v>0</v>
      <v>88</v>
      <v>89</v>
      <v>89</v>
      <v>3</v>
      <v>89</v>
      <v>89</v>
      <v>89</v>
      <v>90</v>
      <v>89</v>
      <v>89</v>
      <v>90</v>
      <v>89</v>
      <v>89</v>
      <v>91</v>
      <v>5</v>
      <v>88</v>
      <v>91</v>
      <v>7</v>
      <v>89</v>
      <v>91</v>
      <v>8</v>
      <v>9</v>
      <v>10</v>
      <v>91</v>
      <v>91</v>
      <v>89</v>
      <v>91</v>
      <v>11</v>
      <v>12</v>
      <v>13</v>
      <v>14</v>
      <v>91</v>
      <v>88</v>
      <v>91</v>
      <v>91</v>
      <v>91</v>
      <v>91</v>
      <v>91</v>
      <v>91</v>
      <v>91</v>
      <v>91</v>
      <v>91</v>
      <v>91</v>
      <v>15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0">
      <v>0</v>
      <v>93</v>
      <v>94</v>
      <v>94</v>
      <v>3</v>
      <v>94</v>
      <v>94</v>
      <v>94</v>
      <v>95</v>
      <v>94</v>
      <v>94</v>
      <v>94</v>
      <v>94</v>
      <v>96</v>
      <v>5</v>
      <v>93</v>
      <v>96</v>
      <v>7</v>
      <v>94</v>
      <v>96</v>
      <v>8</v>
      <v>9</v>
      <v>10</v>
      <v>96</v>
      <v>96</v>
      <v>94</v>
      <v>96</v>
      <v>11</v>
      <v>12</v>
      <v>13</v>
      <v>14</v>
      <v>96</v>
      <v>93</v>
      <v>96</v>
      <v>96</v>
      <v>96</v>
      <v>96</v>
      <v>96</v>
      <v>96</v>
      <v>96</v>
      <v>96</v>
      <v>96</v>
      <v>96</v>
      <v>15</v>
    </spb>
    <spb s="2">
      <v>3</v>
      <v>Name</v>
      <v>LearnMoreOnLink</v>
    </spb>
    <spb s="7">
      <v>2019</v>
      <v>2019</v>
      <v>square km</v>
      <v>per thousand (2018)</v>
      <v>2021</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9">
      <v>0</v>
      <v>100</v>
      <v>101</v>
      <v>101</v>
      <v>3</v>
      <v>101</v>
      <v>101</v>
      <v>101</v>
      <v>102</v>
      <v>101</v>
      <v>101</v>
      <v>102</v>
      <v>101</v>
      <v>101</v>
      <v>103</v>
      <v>5</v>
      <v>100</v>
      <v>103</v>
      <v>7</v>
      <v>101</v>
      <v>103</v>
      <v>8</v>
      <v>9</v>
      <v>10</v>
      <v>103</v>
      <v>103</v>
      <v>101</v>
      <v>103</v>
      <v>11</v>
      <v>12</v>
      <v>13</v>
      <v>14</v>
      <v>103</v>
      <v>100</v>
      <v>103</v>
      <v>103</v>
      <v>103</v>
      <v>103</v>
      <v>103</v>
      <v>103</v>
      <v>103</v>
      <v>103</v>
      <v>103</v>
      <v>103</v>
      <v>15</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0">
      <v>0</v>
      <v>106</v>
      <v>107</v>
      <v>107</v>
      <v>3</v>
      <v>107</v>
      <v>107</v>
      <v>107</v>
      <v>108</v>
      <v>107</v>
      <v>107</v>
      <v>107</v>
      <v>107</v>
      <v>109</v>
      <v>5</v>
      <v>106</v>
      <v>109</v>
      <v>7</v>
      <v>107</v>
      <v>109</v>
      <v>8</v>
      <v>9</v>
      <v>10</v>
      <v>109</v>
      <v>109</v>
      <v>107</v>
      <v>109</v>
      <v>11</v>
      <v>12</v>
      <v>13</v>
      <v>14</v>
      <v>109</v>
      <v>106</v>
      <v>109</v>
      <v>109</v>
      <v>109</v>
      <v>109</v>
      <v>109</v>
      <v>109</v>
      <v>109</v>
      <v>109</v>
      <v>109</v>
      <v>109</v>
      <v>15</v>
    </spb>
    <spb s="7">
      <v>2019</v>
      <v>2019</v>
      <v>square km</v>
      <v>per thousand (2018)</v>
      <v>2020</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9">
      <v>0</v>
      <v>112</v>
      <v>113</v>
      <v>113</v>
      <v>3</v>
      <v>113</v>
      <v>113</v>
      <v>113</v>
      <v>114</v>
      <v>113</v>
      <v>113</v>
      <v>114</v>
      <v>113</v>
      <v>113</v>
      <v>115</v>
      <v>5</v>
      <v>112</v>
      <v>115</v>
      <v>7</v>
      <v>113</v>
      <v>115</v>
      <v>8</v>
      <v>9</v>
      <v>10</v>
      <v>115</v>
      <v>115</v>
      <v>113</v>
      <v>115</v>
      <v>11</v>
      <v>12</v>
      <v>13</v>
      <v>14</v>
      <v>115</v>
      <v>112</v>
      <v>115</v>
      <v>115</v>
      <v>115</v>
      <v>115</v>
      <v>115</v>
      <v>115</v>
      <v>115</v>
      <v>115</v>
      <v>115</v>
      <v>115</v>
      <v>15</v>
    </spb>
    <spb s="7">
      <v>2019</v>
      <v>2019</v>
      <v>square km</v>
      <v>per thousand (2018)</v>
      <v>2021</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9">
      <v>0</v>
      <v>118</v>
      <v>119</v>
      <v>119</v>
      <v>3</v>
      <v>119</v>
      <v>119</v>
      <v>119</v>
      <v>120</v>
      <v>119</v>
      <v>119</v>
      <v>120</v>
      <v>119</v>
      <v>119</v>
      <v>121</v>
      <v>5</v>
      <v>118</v>
      <v>121</v>
      <v>7</v>
      <v>119</v>
      <v>121</v>
      <v>8</v>
      <v>9</v>
      <v>10</v>
      <v>121</v>
      <v>121</v>
      <v>119</v>
      <v>121</v>
      <v>11</v>
      <v>12</v>
      <v>13</v>
      <v>14</v>
      <v>121</v>
      <v>118</v>
      <v>121</v>
      <v>121</v>
      <v>121</v>
      <v>121</v>
      <v>121</v>
      <v>121</v>
      <v>121</v>
      <v>121</v>
      <v>121</v>
      <v>121</v>
      <v>15</v>
    </spb>
    <spb s="7">
      <v>2019</v>
      <v>2019</v>
      <v>square km</v>
      <v>per thousand (2018)</v>
      <v>2021</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9">
      <v>0</v>
      <v>124</v>
      <v>125</v>
      <v>125</v>
      <v>3</v>
      <v>125</v>
      <v>125</v>
      <v>125</v>
      <v>126</v>
      <v>125</v>
      <v>125</v>
      <v>126</v>
      <v>125</v>
      <v>125</v>
      <v>127</v>
      <v>5</v>
      <v>128</v>
      <v>127</v>
      <v>7</v>
      <v>125</v>
      <v>127</v>
      <v>8</v>
      <v>9</v>
      <v>10</v>
      <v>127</v>
      <v>127</v>
      <v>125</v>
      <v>127</v>
      <v>11</v>
      <v>12</v>
      <v>13</v>
      <v>14</v>
      <v>127</v>
      <v>128</v>
      <v>127</v>
      <v>127</v>
      <v>127</v>
      <v>127</v>
      <v>127</v>
      <v>127</v>
      <v>127</v>
      <v>127</v>
      <v>127</v>
      <v>127</v>
      <v>15</v>
    </spb>
    <spb s="7">
      <v>2019</v>
      <v>2017</v>
      <v>square km</v>
      <v>per thousand (2018)</v>
      <v>2021</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9">
      <v>0</v>
      <v>131</v>
      <v>132</v>
      <v>132</v>
      <v>3</v>
      <v>132</v>
      <v>132</v>
      <v>132</v>
      <v>133</v>
      <v>132</v>
      <v>132</v>
      <v>133</v>
      <v>132</v>
      <v>132</v>
      <v>134</v>
      <v>5</v>
      <v>131</v>
      <v>134</v>
      <v>7</v>
      <v>132</v>
      <v>134</v>
      <v>8</v>
      <v>9</v>
      <v>10</v>
      <v>134</v>
      <v>134</v>
      <v>132</v>
      <v>134</v>
      <v>11</v>
      <v>12</v>
      <v>13</v>
      <v>14</v>
      <v>134</v>
      <v>131</v>
      <v>134</v>
      <v>134</v>
      <v>134</v>
      <v>134</v>
      <v>134</v>
      <v>134</v>
      <v>134</v>
      <v>134</v>
      <v>134</v>
      <v>134</v>
      <v>15</v>
    </spb>
    <spb s="7">
      <v>2019</v>
      <v>2019</v>
      <v>square km</v>
      <v>per thousand (2018)</v>
      <v>2021</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9">
      <v>0</v>
      <v>137</v>
      <v>138</v>
      <v>138</v>
      <v>3</v>
      <v>138</v>
      <v>138</v>
      <v>138</v>
      <v>139</v>
      <v>138</v>
      <v>138</v>
      <v>139</v>
      <v>138</v>
      <v>138</v>
      <v>140</v>
      <v>5</v>
      <v>137</v>
      <v>140</v>
      <v>7</v>
      <v>138</v>
      <v>140</v>
      <v>8</v>
      <v>9</v>
      <v>10</v>
      <v>140</v>
      <v>140</v>
      <v>138</v>
      <v>140</v>
      <v>11</v>
      <v>12</v>
      <v>13</v>
      <v>14</v>
      <v>140</v>
      <v>137</v>
      <v>140</v>
      <v>140</v>
      <v>140</v>
      <v>140</v>
      <v>140</v>
      <v>140</v>
      <v>140</v>
      <v>140</v>
      <v>140</v>
      <v>140</v>
      <v>15</v>
    </spb>
    <spb s="7">
      <v>2019</v>
      <v>2019</v>
      <v>square km</v>
      <v>per thousand (2018)</v>
      <v>2021</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9">
      <v>0</v>
      <v>143</v>
      <v>144</v>
      <v>144</v>
      <v>3</v>
      <v>144</v>
      <v>144</v>
      <v>144</v>
      <v>145</v>
      <v>144</v>
      <v>144</v>
      <v>145</v>
      <v>144</v>
      <v>144</v>
      <v>146</v>
      <v>5</v>
      <v>143</v>
      <v>146</v>
      <v>7</v>
      <v>144</v>
      <v>146</v>
      <v>8</v>
      <v>9</v>
      <v>10</v>
      <v>146</v>
      <v>146</v>
      <v>144</v>
      <v>146</v>
      <v>11</v>
      <v>12</v>
      <v>13</v>
      <v>14</v>
      <v>146</v>
      <v>143</v>
      <v>146</v>
      <v>146</v>
      <v>146</v>
      <v>146</v>
      <v>146</v>
      <v>146</v>
      <v>146</v>
      <v>146</v>
      <v>146</v>
      <v>146</v>
      <v>15</v>
    </spb>
    <spb s="7">
      <v>2019</v>
      <v>2019</v>
      <v>square km</v>
      <v>per thousand (2018)</v>
      <v>2020</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1">
      <v>0</v>
      <v>149</v>
      <v>150</v>
      <v>150</v>
      <v>3</v>
      <v>150</v>
      <v>150</v>
      <v>150</v>
      <v>151</v>
      <v>150</v>
      <v>150</v>
      <v>150</v>
      <v>152</v>
      <v>5</v>
      <v>149</v>
      <v>152</v>
      <v>7</v>
      <v>150</v>
      <v>152</v>
      <v>8</v>
      <v>9</v>
      <v>10</v>
      <v>152</v>
      <v>152</v>
      <v>150</v>
      <v>152</v>
      <v>11</v>
      <v>12</v>
      <v>13</v>
      <v>14</v>
      <v>152</v>
      <v>149</v>
      <v>152</v>
      <v>152</v>
      <v>152</v>
      <v>15</v>
    </spb>
    <spb s="2">
      <v>4</v>
      <v>Name</v>
      <v>LearnMoreOnLink</v>
    </spb>
    <spb s="12">
      <v>2019</v>
      <v>2019</v>
      <v>square km</v>
      <v>per thousand (2018)</v>
      <v>2021</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9">
      <v>0</v>
      <v>156</v>
      <v>157</v>
      <v>157</v>
      <v>3</v>
      <v>157</v>
      <v>157</v>
      <v>157</v>
      <v>158</v>
      <v>157</v>
      <v>157</v>
      <v>158</v>
      <v>157</v>
      <v>157</v>
      <v>159</v>
      <v>5</v>
      <v>156</v>
      <v>159</v>
      <v>7</v>
      <v>157</v>
      <v>159</v>
      <v>8</v>
      <v>9</v>
      <v>10</v>
      <v>159</v>
      <v>159</v>
      <v>157</v>
      <v>159</v>
      <v>11</v>
      <v>12</v>
      <v>13</v>
      <v>14</v>
      <v>159</v>
      <v>156</v>
      <v>159</v>
      <v>159</v>
      <v>159</v>
      <v>159</v>
      <v>159</v>
      <v>159</v>
      <v>159</v>
      <v>159</v>
      <v>159</v>
      <v>159</v>
      <v>15</v>
    </spb>
    <spb s="7">
      <v>2019</v>
      <v>2019</v>
      <v>square km</v>
      <v>per thousand (2018)</v>
      <v>2021</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10">
      <v>0</v>
      <v>162</v>
      <v>163</v>
      <v>163</v>
      <v>3</v>
      <v>163</v>
      <v>163</v>
      <v>163</v>
      <v>164</v>
      <v>163</v>
      <v>163</v>
      <v>163</v>
      <v>163</v>
      <v>165</v>
      <v>5</v>
      <v>162</v>
      <v>165</v>
      <v>7</v>
      <v>163</v>
      <v>165</v>
      <v>8</v>
      <v>9</v>
      <v>10</v>
      <v>165</v>
      <v>165</v>
      <v>163</v>
      <v>165</v>
      <v>11</v>
      <v>12</v>
      <v>13</v>
      <v>14</v>
      <v>165</v>
      <v>162</v>
      <v>165</v>
      <v>165</v>
      <v>165</v>
      <v>165</v>
      <v>165</v>
      <v>165</v>
      <v>165</v>
      <v>165</v>
      <v>165</v>
      <v>165</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9">
      <v>0</v>
      <v>168</v>
      <v>169</v>
      <v>169</v>
      <v>3</v>
      <v>169</v>
      <v>169</v>
      <v>169</v>
      <v>170</v>
      <v>169</v>
      <v>169</v>
      <v>170</v>
      <v>169</v>
      <v>169</v>
      <v>171</v>
      <v>5</v>
      <v>168</v>
      <v>171</v>
      <v>7</v>
      <v>169</v>
      <v>171</v>
      <v>8</v>
      <v>9</v>
      <v>10</v>
      <v>171</v>
      <v>171</v>
      <v>169</v>
      <v>171</v>
      <v>11</v>
      <v>12</v>
      <v>13</v>
      <v>14</v>
      <v>171</v>
      <v>168</v>
      <v>171</v>
      <v>171</v>
      <v>171</v>
      <v>171</v>
      <v>171</v>
      <v>171</v>
      <v>171</v>
      <v>171</v>
      <v>171</v>
      <v>171</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9">
      <v>0</v>
      <v>174</v>
      <v>175</v>
      <v>175</v>
      <v>3</v>
      <v>175</v>
      <v>175</v>
      <v>175</v>
      <v>176</v>
      <v>175</v>
      <v>175</v>
      <v>176</v>
      <v>175</v>
      <v>175</v>
      <v>177</v>
      <v>5</v>
      <v>174</v>
      <v>177</v>
      <v>7</v>
      <v>175</v>
      <v>177</v>
      <v>8</v>
      <v>9</v>
      <v>10</v>
      <v>177</v>
      <v>177</v>
      <v>175</v>
      <v>177</v>
      <v>11</v>
      <v>12</v>
      <v>13</v>
      <v>14</v>
      <v>177</v>
      <v>174</v>
      <v>177</v>
      <v>177</v>
      <v>177</v>
      <v>177</v>
      <v>177</v>
      <v>177</v>
      <v>177</v>
      <v>177</v>
      <v>177</v>
      <v>177</v>
      <v>15</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57567-F1DD-4F3E-90A1-657E26F40EC5}" name="Table147" displayName="Table147" ref="A1:R26" totalsRowShown="0" headerRowDxfId="18" dataDxfId="17" dataCellStyle="Currency">
  <autoFilter ref="A1:R26" xr:uid="{FA557567-F1DD-4F3E-90A1-657E26F40EC5}"/>
  <tableColumns count="18">
    <tableColumn id="1" xr3:uid="{319D20B7-5567-406B-8B4E-3501CC87D66D}" name="Country"/>
    <tableColumn id="2" xr3:uid="{EAC93112-4A18-472E-968B-22468B6B66B1}" name="NBD-SLAGDCH-Base SKU" dataDxfId="16" dataCellStyle="Currency"/>
    <tableColumn id="3" xr3:uid="{625D2B94-21E8-47BD-8EFA-170FF7F1CB36}" name="NBD-GDC-OIR SKU" dataDxfId="15" dataCellStyle="Currency"/>
    <tableColumn id="4" xr3:uid="{1F80E565-BAB3-4947-992B-3CC8A5B85281}" name="GDC Expansion Rack (Compute)" dataDxfId="14" dataCellStyle="Currency"/>
    <tableColumn id="5" xr3:uid="{9C081E9C-922D-4DC8-B211-ED005E8B1823}" name="GDC Expansion Rack (FileBlock Storage)" dataDxfId="13" dataCellStyle="Currency"/>
    <tableColumn id="6" xr3:uid="{CCC6449C-7417-4215-A080-E68F8E4843E8}" name="GDC Expansion Rack (Object)" dataDxfId="12" dataCellStyle="Currency"/>
    <tableColumn id="7" xr3:uid="{065C49DA-798D-48C0-9F2D-04FFAFFDF1FC}" name="Block - Std" dataDxfId="11" dataCellStyle="Currency"/>
    <tableColumn id="8" xr3:uid="{13EC6FE7-B016-427F-901B-ADFF32CD3345}" name="Block -HM" dataDxfId="10" dataCellStyle="Currency"/>
    <tableColumn id="9" xr3:uid="{658D1046-9043-422D-AC34-8D2D09DB1DFF}" name="Block-H100" dataDxfId="9" dataCellStyle="Currency"/>
    <tableColumn id="10" xr3:uid="{6C8ABED1-6A23-4E07-B229-0710192F5841}" name="Block-H200" dataDxfId="8" dataCellStyle="Currency"/>
    <tableColumn id="11" xr3:uid="{36A1916B-F3B5-4C50-9FFC-0B579B5924CC}" name="Block-A100" dataDxfId="7" dataCellStyle="Currency"/>
    <tableColumn id="12" xr3:uid="{FC9AD9BA-028F-4BE8-98AC-A3DD212FB90D}" name="Block-A250" dataDxfId="6" dataCellStyle="Currency"/>
    <tableColumn id="13" xr3:uid="{DD9CC2AF-E852-4C5F-AC7E-815E9D7D6834}" name="Block-A400" dataDxfId="5" dataCellStyle="Currency"/>
    <tableColumn id="14" xr3:uid="{B351537C-973C-4E44-B672-B2BC935D1A9B}" name="Block-A90 (24)" dataDxfId="4" dataCellStyle="Currency"/>
    <tableColumn id="15" xr3:uid="{D523CAD0-745C-4642-BFB3-EAC7E93C2173}" name="Block-A90 (48)" dataDxfId="3" dataCellStyle="Currency"/>
    <tableColumn id="16" xr3:uid="{51A771D3-4267-4D87-B677-04689A5DE5CA}" name="Block-Obj" dataDxfId="2" dataCellStyle="Currency"/>
    <tableColumn id="17" xr3:uid="{3A38B85A-5C0B-44DD-8254-3053C0E616E8}" name="Block-Obj (SG6160)" dataDxfId="1" dataCellStyle="Currency"/>
    <tableColumn id="18" xr3:uid="{F4288B24-7B18-4F14-BD30-B4091E4E5D90}" name="GDC Appliance"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610F-CF50-4901-97C7-E1D08B7CB282}">
  <dimension ref="A1:R26"/>
  <sheetViews>
    <sheetView tabSelected="1" workbookViewId="0">
      <selection activeCell="B32" sqref="B32"/>
    </sheetView>
  </sheetViews>
  <sheetFormatPr defaultRowHeight="14.5" x14ac:dyDescent="0.35"/>
  <cols>
    <col min="1" max="1" width="21" bestFit="1" customWidth="1"/>
    <col min="2" max="2" width="27.54296875" bestFit="1" customWidth="1"/>
    <col min="3" max="3" width="21.90625" bestFit="1" customWidth="1"/>
    <col min="4" max="4" width="33.81640625" bestFit="1" customWidth="1"/>
    <col min="5" max="5" width="40.7265625" bestFit="1" customWidth="1"/>
    <col min="6" max="6" width="31.36328125" bestFit="1" customWidth="1"/>
    <col min="7" max="7" width="14.453125" bestFit="1" customWidth="1"/>
    <col min="8" max="8" width="14" bestFit="1" customWidth="1"/>
    <col min="9" max="10" width="15" bestFit="1" customWidth="1"/>
    <col min="11" max="13" width="14.7265625" bestFit="1" customWidth="1"/>
    <col min="14" max="15" width="17.54296875" bestFit="1" customWidth="1"/>
    <col min="16" max="16" width="13.7265625" bestFit="1" customWidth="1"/>
    <col min="17" max="17" width="22.08984375" bestFit="1" customWidth="1"/>
    <col min="18" max="18" width="18.54296875" bestFit="1" customWidth="1"/>
  </cols>
  <sheetData>
    <row r="1" spans="1:18" x14ac:dyDescent="0.35">
      <c r="A1" t="s">
        <v>0</v>
      </c>
      <c r="B1" s="1" t="s">
        <v>1</v>
      </c>
      <c r="C1" s="1" t="s">
        <v>2</v>
      </c>
      <c r="D1" s="2" t="s">
        <v>3</v>
      </c>
      <c r="E1" s="2" t="s">
        <v>4</v>
      </c>
      <c r="F1" s="2" t="s">
        <v>5</v>
      </c>
      <c r="G1" s="3" t="s">
        <v>6</v>
      </c>
      <c r="H1" s="3" t="s">
        <v>7</v>
      </c>
      <c r="I1" s="3" t="s">
        <v>8</v>
      </c>
      <c r="J1" s="3" t="s">
        <v>9</v>
      </c>
      <c r="K1" s="3" t="s">
        <v>10</v>
      </c>
      <c r="L1" s="3" t="s">
        <v>11</v>
      </c>
      <c r="M1" s="3" t="s">
        <v>12</v>
      </c>
      <c r="N1" s="3" t="s">
        <v>13</v>
      </c>
      <c r="O1" s="3" t="s">
        <v>14</v>
      </c>
      <c r="P1" s="3" t="s">
        <v>15</v>
      </c>
      <c r="Q1" s="3" t="s">
        <v>16</v>
      </c>
      <c r="R1" s="3" t="s">
        <v>17</v>
      </c>
    </row>
    <row r="2" spans="1:18" x14ac:dyDescent="0.35">
      <c r="A2" t="e" vm="1">
        <v>#VALUE!</v>
      </c>
      <c r="B2" s="4">
        <f>SUM('[1]United States'!$J$2:$J$24)</f>
        <v>286.40250000000003</v>
      </c>
      <c r="C2" s="4">
        <f>SUM('[1]United States'!$J$25:$J$33)</f>
        <v>22.89</v>
      </c>
      <c r="D2" s="5">
        <f>SUM('[1]United States'!$J$34:$J$40)</f>
        <v>31.274999999999999</v>
      </c>
      <c r="E2" s="5">
        <f>SUM('[1]United States'!$J$41:$J$48)</f>
        <v>9.9</v>
      </c>
      <c r="F2" s="5">
        <f>SUM('[1]United States'!$J$49:$J$55)</f>
        <v>9.9</v>
      </c>
      <c r="G2" s="6">
        <f>SUM('[1]United States'!$J$56)</f>
        <v>0</v>
      </c>
      <c r="H2" s="6">
        <f>SUM('[1]United States'!$J$57)</f>
        <v>0</v>
      </c>
      <c r="I2" s="6">
        <f>SUM('[1]United States'!$J$58)</f>
        <v>0</v>
      </c>
      <c r="J2" s="6">
        <f>SUM('[1]United States'!$J$59)</f>
        <v>0</v>
      </c>
      <c r="K2" s="6">
        <f>SUM('[1]United States'!$J$60)</f>
        <v>0</v>
      </c>
      <c r="L2" s="6">
        <f>SUM('[1]United States'!$J$61)</f>
        <v>0</v>
      </c>
      <c r="M2" s="6">
        <f>SUM('[1]United States'!$J$62)</f>
        <v>0</v>
      </c>
      <c r="N2" s="6">
        <f>SUM('[1]United States'!$J$63)</f>
        <v>0</v>
      </c>
      <c r="O2" s="6">
        <f>SUM('[1]United States'!$J$64)</f>
        <v>0</v>
      </c>
      <c r="P2" s="6">
        <f>SUM('[1]United States'!$J$65)</f>
        <v>0</v>
      </c>
      <c r="Q2" s="6">
        <f>SUM('[1]United States'!$J$66)</f>
        <v>0</v>
      </c>
      <c r="R2" s="6">
        <f>SUM('[1]United States'!$J$67:$J$71)</f>
        <v>0</v>
      </c>
    </row>
    <row r="3" spans="1:18" x14ac:dyDescent="0.35">
      <c r="A3" t="e" vm="2">
        <v>#VALUE!</v>
      </c>
      <c r="B3" s="4">
        <f>SUM([1]Brazil!$J$2:$J$24)</f>
        <v>523.16250000000002</v>
      </c>
      <c r="C3" s="4">
        <f>SUM([1]Brazil!$J$25:$J$33)</f>
        <v>40.057500000000005</v>
      </c>
      <c r="D3" s="5">
        <f>SUM([1]Brazil!$J$34:$J$40)</f>
        <v>57.510000000000005</v>
      </c>
      <c r="E3" s="5">
        <f>SUM([1]Brazil!$J$41:$J$48)</f>
        <v>26.287499999999998</v>
      </c>
      <c r="F3" s="5">
        <f>SUM([1]Brazil!$J$49:$J$55)</f>
        <v>21.0075</v>
      </c>
      <c r="G3" s="6">
        <f>SUM([1]Brazil!$J$56)</f>
        <v>0</v>
      </c>
      <c r="H3" s="6">
        <f>SUM([1]Brazil!$J$57)</f>
        <v>0</v>
      </c>
      <c r="I3" s="6">
        <f>SUM([1]Brazil!$J$58)</f>
        <v>0</v>
      </c>
      <c r="J3" s="6">
        <f>SUM([1]Brazil!$J$59)</f>
        <v>0</v>
      </c>
      <c r="K3" s="6">
        <f>SUM([1]Brazil!$J$60)</f>
        <v>0</v>
      </c>
      <c r="L3" s="6">
        <f>SUM([1]Brazil!$J$61)</f>
        <v>0</v>
      </c>
      <c r="M3" s="6">
        <f>SUM([1]Brazil!$J$62)</f>
        <v>0</v>
      </c>
      <c r="N3" s="6">
        <f>SUM([1]Brazil!$J$63)</f>
        <v>0</v>
      </c>
      <c r="O3" s="6">
        <f>SUM([1]Brazil!$J$64)</f>
        <v>0</v>
      </c>
      <c r="P3" s="6">
        <f>SUM([1]Brazil!$J$65)</f>
        <v>0</v>
      </c>
      <c r="Q3" s="6">
        <f>SUM([1]Brazil!$J$66)</f>
        <v>0</v>
      </c>
      <c r="R3" s="6">
        <f>SUM([1]Brazil!$J$67:$J$71)</f>
        <v>0</v>
      </c>
    </row>
    <row r="4" spans="1:18" x14ac:dyDescent="0.35">
      <c r="A4" t="e" vm="3">
        <v>#VALUE!</v>
      </c>
      <c r="B4" s="4">
        <f>SUM([1]Canada!$J$2:$J$24)</f>
        <v>286.40250000000003</v>
      </c>
      <c r="C4" s="4">
        <f>SUM([1]Canada!$J$25:$J$33)</f>
        <v>20.824999999999999</v>
      </c>
      <c r="D4" s="5">
        <f>SUM([1]Canada!$J$34:$J$40)</f>
        <v>31.274999999999999</v>
      </c>
      <c r="E4" s="5">
        <f>SUM([1]Canada!$J$41:$J$48)</f>
        <v>7.8375000000000004</v>
      </c>
      <c r="F4" s="5">
        <f>SUM([1]Canada!$J$49:$J$55)</f>
        <v>7.8375000000000004</v>
      </c>
      <c r="G4" s="6">
        <f>SUM([1]Canada!$J$56)</f>
        <v>0</v>
      </c>
      <c r="H4" s="6">
        <f>SUM([1]Canada!$J$57)</f>
        <v>0</v>
      </c>
      <c r="I4" s="6">
        <f>SUM([1]Canada!$J$58)</f>
        <v>0</v>
      </c>
      <c r="J4" s="6">
        <f>SUM([1]Canada!$J$59)</f>
        <v>0</v>
      </c>
      <c r="K4" s="6">
        <f>SUM([1]Canada!$J$60)</f>
        <v>0</v>
      </c>
      <c r="L4" s="6">
        <f>SUM([1]Canada!$J$61)</f>
        <v>0</v>
      </c>
      <c r="M4" s="6">
        <f>SUM([1]Canada!$J$62)</f>
        <v>0</v>
      </c>
      <c r="N4" s="6">
        <f>SUM([1]Canada!$J$63)</f>
        <v>0</v>
      </c>
      <c r="O4" s="6">
        <f>SUM([1]Canada!$J$64)</f>
        <v>0</v>
      </c>
      <c r="P4" s="6">
        <f>SUM([1]Canada!$J$65)</f>
        <v>0</v>
      </c>
      <c r="Q4" s="6">
        <f>SUM([1]Canada!$J$66)</f>
        <v>0</v>
      </c>
      <c r="R4" s="6">
        <f>SUM([1]Canada!$J$67:$J$71)</f>
        <v>0</v>
      </c>
    </row>
    <row r="5" spans="1:18" x14ac:dyDescent="0.35">
      <c r="A5" t="e" vm="4">
        <v>#VALUE!</v>
      </c>
      <c r="B5" s="4">
        <f>SUM([1]Belgium!$J$2:$J$24)</f>
        <v>286.40750000000003</v>
      </c>
      <c r="C5" s="4">
        <f>SUM([1]Belgium!$J$25:$J$33)</f>
        <v>20.827500000000001</v>
      </c>
      <c r="D5" s="5">
        <f>SUM([1]Belgium!$J$34:$J$40)</f>
        <v>22.89</v>
      </c>
      <c r="E5" s="5">
        <f>SUM([1]Belgium!$J$41:$J$48)</f>
        <v>7.8375000000000004</v>
      </c>
      <c r="F5" s="5">
        <f>SUM([1]Belgium!$J$49:$J$55)</f>
        <v>7.8375000000000004</v>
      </c>
      <c r="G5" s="6">
        <f>SUM([1]Belgium!$J$56)</f>
        <v>0</v>
      </c>
      <c r="H5" s="6">
        <f>SUM([1]Belgium!$J$57)</f>
        <v>0</v>
      </c>
      <c r="I5" s="6">
        <f>SUM([1]Belgium!$J$58)</f>
        <v>0</v>
      </c>
      <c r="J5" s="6">
        <f>SUM([1]Belgium!$J$59)</f>
        <v>0</v>
      </c>
      <c r="K5" s="6">
        <f>SUM([1]Belgium!$J$60)</f>
        <v>0</v>
      </c>
      <c r="L5" s="6">
        <f>SUM([1]Belgium!$J$61)</f>
        <v>0</v>
      </c>
      <c r="M5" s="6">
        <f>SUM([1]Belgium!$J$62)</f>
        <v>0</v>
      </c>
      <c r="N5" s="6">
        <f>SUM([1]Belgium!$J$63)</f>
        <v>0</v>
      </c>
      <c r="O5" s="6">
        <f>SUM([1]Belgium!$J$64)</f>
        <v>0</v>
      </c>
      <c r="P5" s="6">
        <f>SUM([1]Belgium!$J$65)</f>
        <v>0</v>
      </c>
      <c r="Q5" s="6">
        <f>SUM([1]Belgium!$J$66)</f>
        <v>0</v>
      </c>
      <c r="R5" s="6">
        <f>SUM([1]Belgium!$J$67:$J$71)</f>
        <v>0</v>
      </c>
    </row>
    <row r="6" spans="1:18" s="7" customFormat="1" x14ac:dyDescent="0.35">
      <c r="A6" s="7" t="e" vm="5">
        <v>#VALUE!</v>
      </c>
      <c r="B6" s="8">
        <f>SUM([1]Germany!$J$2:$J$24)</f>
        <v>286.40250000000003</v>
      </c>
      <c r="C6" s="8">
        <f>SUM([1]Germany!$J$25:$J$33)</f>
        <v>20.827500000000001</v>
      </c>
      <c r="D6" s="8">
        <f>SUM([1]Germany!$J$34:$J$40)</f>
        <v>22.89</v>
      </c>
      <c r="E6" s="8">
        <f>SUM([1]Germany!$J$41:$J$48)</f>
        <v>7.8375000000000004</v>
      </c>
      <c r="F6" s="8">
        <f>SUM([1]Germany!$J$49:$J$55)</f>
        <v>7.8375000000000004</v>
      </c>
      <c r="G6" s="8">
        <f>SUM([1]Germany!$J$56)</f>
        <v>0</v>
      </c>
      <c r="H6" s="8">
        <f>SUM([1]Germany!$J$57)</f>
        <v>0</v>
      </c>
      <c r="I6" s="8">
        <f>SUM([1]Germany!$J$58)</f>
        <v>0</v>
      </c>
      <c r="J6" s="8">
        <f>SUM([1]Germany!$J$59)</f>
        <v>0</v>
      </c>
      <c r="K6" s="8">
        <f>SUM([1]Germany!$J$60)</f>
        <v>0</v>
      </c>
      <c r="L6" s="8">
        <f>SUM([1]Germany!$J$61)</f>
        <v>0</v>
      </c>
      <c r="M6" s="8">
        <f>SUM([1]Germany!$J$62)</f>
        <v>0</v>
      </c>
      <c r="N6" s="8">
        <f>SUM([1]Germany!$J$63)</f>
        <v>0</v>
      </c>
      <c r="O6" s="8">
        <f>SUM([1]Germany!$J$64)</f>
        <v>0</v>
      </c>
      <c r="P6" s="8">
        <f>SUM([1]Germany!$J$65)</f>
        <v>0</v>
      </c>
      <c r="Q6" s="8">
        <f>SUM([1]Germany!$J$66)</f>
        <v>0</v>
      </c>
      <c r="R6" s="8">
        <f>SUM([1]Germany!$J$67:$J$71)</f>
        <v>0</v>
      </c>
    </row>
    <row r="7" spans="1:18" x14ac:dyDescent="0.35">
      <c r="A7" t="e" vm="6">
        <v>#VALUE!</v>
      </c>
      <c r="B7" s="4">
        <f>SUM([1]Finland!$J$2:$J$24)</f>
        <v>429.66749999999996</v>
      </c>
      <c r="C7" s="4">
        <f>SUM([1]Finland!$J$25:$J$33)</f>
        <v>31.252500000000001</v>
      </c>
      <c r="D7" s="5">
        <f>SUM([1]Finland!$J$34:$J$40)</f>
        <v>34.35</v>
      </c>
      <c r="E7" s="5">
        <f>SUM([1]Finland!$J$41:$J$48)</f>
        <v>11.7675</v>
      </c>
      <c r="F7" s="5">
        <f>SUM([1]Finland!$J$49:$J$55)</f>
        <v>11.7675</v>
      </c>
      <c r="G7" s="6">
        <f>SUM([1]Finland!$J$56)</f>
        <v>0</v>
      </c>
      <c r="H7" s="6">
        <f>SUM([1]Finland!$J$57)</f>
        <v>0</v>
      </c>
      <c r="I7" s="6">
        <f>SUM([1]Finland!$J$58)</f>
        <v>0</v>
      </c>
      <c r="J7" s="6">
        <f>SUM([1]Finland!$J$59)</f>
        <v>0</v>
      </c>
      <c r="K7" s="6">
        <f>SUM([1]Finland!$J$60)</f>
        <v>0</v>
      </c>
      <c r="L7" s="6">
        <f>SUM([1]Finland!$J$61)</f>
        <v>0</v>
      </c>
      <c r="M7" s="6">
        <f>SUM([1]Finland!$J$62)</f>
        <v>0</v>
      </c>
      <c r="N7" s="6">
        <f>SUM([1]Finland!$J$63)</f>
        <v>0</v>
      </c>
      <c r="O7" s="6">
        <f>SUM([1]Finland!$J$64)</f>
        <v>0</v>
      </c>
      <c r="P7" s="6">
        <f>SUM([1]Finland!$J$65)</f>
        <v>0</v>
      </c>
      <c r="Q7" s="6">
        <f>SUM([1]Finland!$J$66)</f>
        <v>0</v>
      </c>
      <c r="R7" s="6">
        <f>SUM([1]Finland!$J$67:$J$71)</f>
        <v>0</v>
      </c>
    </row>
    <row r="8" spans="1:18" x14ac:dyDescent="0.35">
      <c r="A8" t="e" vm="7">
        <v>#VALUE!</v>
      </c>
      <c r="B8" s="4">
        <f>SUM([1]France!$J$2:$J$24)</f>
        <v>286.40750000000003</v>
      </c>
      <c r="C8" s="4">
        <f>SUM([1]France!$J$25:$J$33)</f>
        <v>20.827500000000001</v>
      </c>
      <c r="D8" s="5">
        <f>SUM([1]France!$J$34:$J$40)</f>
        <v>22.89</v>
      </c>
      <c r="E8" s="5">
        <f>SUM([1]France!$J$41:$J$48)</f>
        <v>7.8375000000000004</v>
      </c>
      <c r="F8" s="5">
        <f>SUM([1]France!$J$49:$J$55)</f>
        <v>7.8375000000000004</v>
      </c>
      <c r="G8" s="6">
        <f>SUM([1]France!$J$56)</f>
        <v>0</v>
      </c>
      <c r="H8" s="6">
        <f>SUM([1]France!$J$57)</f>
        <v>0</v>
      </c>
      <c r="I8" s="6">
        <f>SUM([1]France!$J$58)</f>
        <v>0</v>
      </c>
      <c r="J8" s="6">
        <f>SUM([1]France!$J$59)</f>
        <v>0</v>
      </c>
      <c r="K8" s="6">
        <f>SUM([1]France!$J$60)</f>
        <v>0</v>
      </c>
      <c r="L8" s="6">
        <f>SUM([1]France!$J$61)</f>
        <v>0</v>
      </c>
      <c r="M8" s="6">
        <f>SUM([1]France!$J$62)</f>
        <v>0</v>
      </c>
      <c r="N8" s="6">
        <f>SUM([1]France!$J$63)</f>
        <v>0</v>
      </c>
      <c r="O8" s="6">
        <f>SUM([1]France!$J$64)</f>
        <v>0</v>
      </c>
      <c r="P8" s="6">
        <f>SUM([1]France!$J$65)</f>
        <v>0</v>
      </c>
      <c r="Q8" s="6">
        <f>SUM([1]France!$J$66)</f>
        <v>0</v>
      </c>
      <c r="R8" s="6">
        <f>SUM([1]France!$J$67:$J$71)</f>
        <v>0</v>
      </c>
    </row>
    <row r="9" spans="1:18" x14ac:dyDescent="0.35">
      <c r="A9" t="e" vm="8">
        <v>#VALUE!</v>
      </c>
      <c r="B9" s="4">
        <f>SUM([1]Israel!$J$2:$J$24)</f>
        <v>358.04250000000002</v>
      </c>
      <c r="C9" s="4">
        <f>SUM([1]Israel!$J$25:$J$33)</f>
        <v>26.047499999999999</v>
      </c>
      <c r="D9" s="5">
        <f>SUM([1]Israel!$J$34:$J$40)</f>
        <v>28.627500000000001</v>
      </c>
      <c r="E9" s="5">
        <f>SUM([1]Israel!$J$41:$J$48)</f>
        <v>9.8025000000000002</v>
      </c>
      <c r="F9" s="5">
        <f>SUM([1]Israel!$J$49:$J$55)</f>
        <v>9.8025000000000002</v>
      </c>
      <c r="G9" s="6">
        <f>SUM([1]Israel!$J$56)</f>
        <v>0</v>
      </c>
      <c r="H9" s="6">
        <f>SUM([1]Israel!$J$57)</f>
        <v>0</v>
      </c>
      <c r="I9" s="6">
        <f>SUM([1]Israel!$J$58)</f>
        <v>0</v>
      </c>
      <c r="J9" s="6">
        <f>SUM([1]Israel!$J$59)</f>
        <v>0</v>
      </c>
      <c r="K9" s="6">
        <f>SUM([1]Israel!$J$60)</f>
        <v>0</v>
      </c>
      <c r="L9" s="6">
        <f>SUM([1]Israel!$J$61)</f>
        <v>0</v>
      </c>
      <c r="M9" s="6">
        <f>SUM([1]Israel!$J$62)</f>
        <v>0</v>
      </c>
      <c r="N9" s="6">
        <f>SUM([1]Israel!$J$63)</f>
        <v>0</v>
      </c>
      <c r="O9" s="6">
        <f>SUM([1]Israel!$J$64)</f>
        <v>0</v>
      </c>
      <c r="P9" s="6">
        <f>SUM([1]Israel!$J$65)</f>
        <v>0</v>
      </c>
      <c r="Q9" s="6">
        <f>SUM([1]Israel!$J$66)</f>
        <v>0</v>
      </c>
      <c r="R9" s="6">
        <f>SUM([1]Israel!$J$67:$J$71)</f>
        <v>0</v>
      </c>
    </row>
    <row r="10" spans="1:18" x14ac:dyDescent="0.35">
      <c r="A10" t="e" vm="9">
        <v>#VALUE!</v>
      </c>
      <c r="B10" s="4">
        <f>SUM([1]Italy!$J$2:$J$24)</f>
        <v>358.04250000000002</v>
      </c>
      <c r="C10" s="4">
        <f>SUM([1]Italy!$J$25:$J$33)</f>
        <v>26.047499999999999</v>
      </c>
      <c r="D10" s="5">
        <f>SUM([1]Italy!$J$34:$J$40)</f>
        <v>28.627500000000001</v>
      </c>
      <c r="E10" s="5">
        <f>SUM([1]Italy!$J$41:$J$48)</f>
        <v>9.8025000000000002</v>
      </c>
      <c r="F10" s="5">
        <f>SUM([1]Italy!$J$49:$J$55)</f>
        <v>9.8025000000000002</v>
      </c>
      <c r="G10" s="6">
        <f>SUM([1]Italy!$J$56)</f>
        <v>0</v>
      </c>
      <c r="H10" s="6">
        <f>SUM([1]Italy!$J$57)</f>
        <v>0</v>
      </c>
      <c r="I10" s="6">
        <f>SUM([1]Italy!$J$58)</f>
        <v>0</v>
      </c>
      <c r="J10" s="6">
        <f>SUM([1]Italy!$J$59)</f>
        <v>0</v>
      </c>
      <c r="K10" s="6">
        <f>SUM([1]Italy!$J$60)</f>
        <v>0</v>
      </c>
      <c r="L10" s="6">
        <f>SUM([1]Italy!$J$61)</f>
        <v>0</v>
      </c>
      <c r="M10" s="6">
        <f>SUM([1]Italy!$J$62)</f>
        <v>0</v>
      </c>
      <c r="N10" s="6">
        <f>SUM([1]Italy!$J$63)</f>
        <v>0</v>
      </c>
      <c r="O10" s="6">
        <f>SUM([1]Italy!$J$64)</f>
        <v>0</v>
      </c>
      <c r="P10" s="6">
        <f>SUM([1]Italy!$J$65)</f>
        <v>0</v>
      </c>
      <c r="Q10" s="6">
        <f>SUM([1]Italy!$J$66)</f>
        <v>0</v>
      </c>
      <c r="R10" s="6">
        <f>SUM([1]Italy!$J$67:$J$71)</f>
        <v>0</v>
      </c>
    </row>
    <row r="11" spans="1:18" x14ac:dyDescent="0.35">
      <c r="A11" t="e" vm="10">
        <v>#VALUE!</v>
      </c>
      <c r="B11" s="4">
        <f>SUM([1]Luxembourg!$J$2:$J$24)</f>
        <v>358.04250000000002</v>
      </c>
      <c r="C11" s="4">
        <f>SUM([1]Luxembourg!$J$25:$J$33)</f>
        <v>26.047499999999999</v>
      </c>
      <c r="D11" s="5">
        <f>SUM([1]Luxembourg!$J$34:$J$40)</f>
        <v>28.627500000000001</v>
      </c>
      <c r="E11" s="5">
        <f>SUM([1]Luxembourg!$J$41:$J$48)</f>
        <v>9.8025000000000002</v>
      </c>
      <c r="F11" s="5">
        <f>SUM([1]Luxembourg!$J$49:$J$55)</f>
        <v>9.8025000000000002</v>
      </c>
      <c r="G11" s="6">
        <f>SUM([1]Luxembourg!$J$56)</f>
        <v>0</v>
      </c>
      <c r="H11" s="6">
        <f>SUM([1]Luxembourg!$J$57)</f>
        <v>0</v>
      </c>
      <c r="I11" s="6">
        <f>SUM([1]Luxembourg!$J$58)</f>
        <v>0</v>
      </c>
      <c r="J11" s="6">
        <f>SUM([1]Luxembourg!$J$59)</f>
        <v>0</v>
      </c>
      <c r="K11" s="6">
        <f>SUM([1]Luxembourg!$J$60)</f>
        <v>0</v>
      </c>
      <c r="L11" s="6">
        <f>SUM([1]Luxembourg!$J$61)</f>
        <v>0</v>
      </c>
      <c r="M11" s="6">
        <f>SUM([1]Luxembourg!$J$62)</f>
        <v>0</v>
      </c>
      <c r="N11" s="6">
        <f>SUM([1]Luxembourg!$J$63)</f>
        <v>0</v>
      </c>
      <c r="O11" s="6">
        <f>SUM([1]Luxembourg!$J$64)</f>
        <v>0</v>
      </c>
      <c r="P11" s="6">
        <f>SUM([1]Luxembourg!$J$65)</f>
        <v>0</v>
      </c>
      <c r="Q11" s="6">
        <f>SUM([1]Luxembourg!$J$66)</f>
        <v>0</v>
      </c>
      <c r="R11" s="6">
        <f>SUM([1]Luxembourg!$J$67:$J$71)</f>
        <v>0</v>
      </c>
    </row>
    <row r="12" spans="1:18" x14ac:dyDescent="0.35">
      <c r="A12" t="e" vm="11">
        <v>#VALUE!</v>
      </c>
      <c r="B12" s="4">
        <f>SUM([1]Spain!$J$2:$J$24)</f>
        <v>358.04250000000002</v>
      </c>
      <c r="C12" s="4">
        <f>SUM([1]Spain!$J$25:$J$33)</f>
        <v>26.047499999999999</v>
      </c>
      <c r="D12" s="5">
        <f>SUM([1]Spain!$J$34:$J$40)</f>
        <v>28.627500000000001</v>
      </c>
      <c r="E12" s="5">
        <f>SUM([1]Spain!$J$41:$J$48)</f>
        <v>9.8025000000000002</v>
      </c>
      <c r="F12" s="5">
        <f>SUM([1]Spain!$J$49:$J$55)</f>
        <v>9.8025000000000002</v>
      </c>
      <c r="G12" s="6">
        <f>SUM([1]Spain!$J$56)</f>
        <v>0</v>
      </c>
      <c r="H12" s="6">
        <f>SUM([1]Spain!$J$57)</f>
        <v>0</v>
      </c>
      <c r="I12" s="6">
        <f>SUM([1]Spain!$J$58)</f>
        <v>0</v>
      </c>
      <c r="J12" s="6">
        <f>SUM([1]Spain!$J$59)</f>
        <v>0</v>
      </c>
      <c r="K12" s="6">
        <f>SUM([1]Spain!$J$60)</f>
        <v>0</v>
      </c>
      <c r="L12" s="6">
        <f>SUM([1]Spain!$J$61)</f>
        <v>0</v>
      </c>
      <c r="M12" s="6">
        <f>SUM([1]Spain!$J$62)</f>
        <v>0</v>
      </c>
      <c r="N12" s="6">
        <f>SUM([1]Spain!$J$63)</f>
        <v>0</v>
      </c>
      <c r="O12" s="6">
        <f>SUM([1]Spain!$J$64)</f>
        <v>0</v>
      </c>
      <c r="P12" s="6">
        <f>SUM([1]Spain!$J$65)</f>
        <v>0</v>
      </c>
      <c r="Q12" s="6">
        <f>SUM([1]Spain!$J$66)</f>
        <v>0</v>
      </c>
      <c r="R12" s="6">
        <f>SUM([1]Spain!$J$67:$J$71)</f>
        <v>0</v>
      </c>
    </row>
    <row r="13" spans="1:18" x14ac:dyDescent="0.35">
      <c r="A13" t="e" vm="12">
        <v>#VALUE!</v>
      </c>
      <c r="B13" s="4">
        <f>SUM([1]Sweden!$J$2:$J$24)</f>
        <v>429.66749999999996</v>
      </c>
      <c r="C13" s="4">
        <f>SUM([1]Sweden!$J$25:$J$33)</f>
        <v>31.252500000000001</v>
      </c>
      <c r="D13" s="5">
        <f>SUM([1]Sweden!$J$34:$J$40)</f>
        <v>34.35</v>
      </c>
      <c r="E13" s="5">
        <f>SUM([1]Sweden!$J$41:$J$48)</f>
        <v>11.7675</v>
      </c>
      <c r="F13" s="5">
        <f>SUM([1]Sweden!$J$49:$J$55)</f>
        <v>11.7675</v>
      </c>
      <c r="G13" s="6">
        <f>SUM([1]Sweden!$J$56)</f>
        <v>0</v>
      </c>
      <c r="H13" s="6">
        <f>SUM([1]Sweden!$J$57)</f>
        <v>0</v>
      </c>
      <c r="I13" s="6">
        <f>SUM([1]Sweden!$J$58)</f>
        <v>0</v>
      </c>
      <c r="J13" s="6">
        <f>SUM([1]Sweden!$J$59)</f>
        <v>0</v>
      </c>
      <c r="K13" s="6">
        <f>SUM([1]Sweden!$J$60)</f>
        <v>0</v>
      </c>
      <c r="L13" s="6">
        <f>SUM([1]Sweden!$J$61)</f>
        <v>0</v>
      </c>
      <c r="M13" s="6">
        <f>SUM([1]Sweden!$J$62)</f>
        <v>0</v>
      </c>
      <c r="N13" s="6">
        <f>SUM([1]Sweden!$J$63)</f>
        <v>0</v>
      </c>
      <c r="O13" s="6">
        <f>SUM([1]Sweden!$J$64)</f>
        <v>0</v>
      </c>
      <c r="P13" s="6">
        <f>SUM([1]Sweden!$J$65)</f>
        <v>0</v>
      </c>
      <c r="Q13" s="6">
        <f>SUM([1]Sweden!$J$66)</f>
        <v>0</v>
      </c>
      <c r="R13" s="6">
        <f>SUM([1]Sweden!$J$67:$J$71)</f>
        <v>0</v>
      </c>
    </row>
    <row r="14" spans="1:18" x14ac:dyDescent="0.35">
      <c r="A14" t="e" vm="13">
        <v>#VALUE!</v>
      </c>
      <c r="B14" s="4">
        <f>SUM([1]Netherlands!$J$2:$J$24)</f>
        <v>286.40750000000003</v>
      </c>
      <c r="C14" s="4">
        <f>SUM([1]Netherlands!$J$25:$J$33)</f>
        <v>20.827500000000001</v>
      </c>
      <c r="D14" s="5">
        <f>SUM([1]Netherlands!$J$34:$J$40)</f>
        <v>22.89</v>
      </c>
      <c r="E14" s="5">
        <f>SUM([1]Netherlands!$J$41:$J$48)</f>
        <v>7.8375000000000004</v>
      </c>
      <c r="F14" s="5">
        <f>SUM([1]Netherlands!$J$49:$J$55)</f>
        <v>7.8375000000000004</v>
      </c>
      <c r="G14" s="6">
        <f>SUM([1]Netherlands!$J$56)</f>
        <v>0</v>
      </c>
      <c r="H14" s="6">
        <f>SUM([1]Netherlands!$J$57)</f>
        <v>0</v>
      </c>
      <c r="I14" s="6">
        <f>SUM([1]Netherlands!$J$58)</f>
        <v>0</v>
      </c>
      <c r="J14" s="6">
        <f>SUM([1]Netherlands!$J$59)</f>
        <v>0</v>
      </c>
      <c r="K14" s="6">
        <f>SUM([1]Netherlands!$J$60)</f>
        <v>0</v>
      </c>
      <c r="L14" s="6">
        <f>SUM([1]Netherlands!$J$61)</f>
        <v>0</v>
      </c>
      <c r="M14" s="6">
        <f>SUM([1]Netherlands!$J$62)</f>
        <v>0</v>
      </c>
      <c r="N14" s="6">
        <f>SUM([1]Netherlands!$J$63)</f>
        <v>0</v>
      </c>
      <c r="O14" s="6">
        <f>SUM([1]Netherlands!$J$64)</f>
        <v>0</v>
      </c>
      <c r="P14" s="6">
        <f>SUM([1]Netherlands!$J$65)</f>
        <v>0</v>
      </c>
      <c r="Q14" s="6">
        <f>SUM([1]Netherlands!$J$66)</f>
        <v>0</v>
      </c>
      <c r="R14" s="6">
        <f>SUM([1]Netherlands!$J$67:$J$71)</f>
        <v>0</v>
      </c>
    </row>
    <row r="15" spans="1:18" x14ac:dyDescent="0.35">
      <c r="A15" t="e" vm="14">
        <v>#VALUE!</v>
      </c>
      <c r="B15" s="4">
        <f>SUM([1]UAE!$J$2:$J$24)</f>
        <v>358.04250000000002</v>
      </c>
      <c r="C15" s="4">
        <f>SUM([1]UAE!$J$25:$J$33)</f>
        <v>26.047499999999999</v>
      </c>
      <c r="D15" s="5">
        <f>SUM([1]UAE!$J$34:$J$40)</f>
        <v>28.627500000000001</v>
      </c>
      <c r="E15" s="5">
        <f>SUM([1]UAE!$J$41:$J$48)</f>
        <v>9.8025000000000002</v>
      </c>
      <c r="F15" s="5">
        <f>SUM([1]UAE!$J$49:$J$55)</f>
        <v>9.8025000000000002</v>
      </c>
      <c r="G15" s="6">
        <f>SUM([1]UAE!$J$56)</f>
        <v>0</v>
      </c>
      <c r="H15" s="6">
        <f>SUM([1]UAE!$J$57)</f>
        <v>0</v>
      </c>
      <c r="I15" s="6">
        <f>SUM([1]UAE!$J$58)</f>
        <v>0</v>
      </c>
      <c r="J15" s="6">
        <f>SUM([1]UAE!$J$59)</f>
        <v>0</v>
      </c>
      <c r="K15" s="6">
        <f>SUM([1]UAE!$J$60)</f>
        <v>0</v>
      </c>
      <c r="L15" s="6">
        <f>SUM([1]UAE!$J$61)</f>
        <v>0</v>
      </c>
      <c r="M15" s="6">
        <f>SUM([1]UAE!$J$62)</f>
        <v>0</v>
      </c>
      <c r="N15" s="6">
        <f>SUM([1]UAE!$J$63)</f>
        <v>0</v>
      </c>
      <c r="O15" s="6">
        <f>SUM([1]UAE!$J$64)</f>
        <v>0</v>
      </c>
      <c r="P15" s="6">
        <f>SUM([1]UAE!$J$65)</f>
        <v>0</v>
      </c>
      <c r="Q15" s="6">
        <f>SUM([1]UAE!$J$66)</f>
        <v>0</v>
      </c>
      <c r="R15" s="6">
        <f>SUM([1]UAE!$J$67:$J$71)</f>
        <v>0</v>
      </c>
    </row>
    <row r="16" spans="1:18" x14ac:dyDescent="0.35">
      <c r="A16" t="e" vm="15">
        <v>#VALUE!</v>
      </c>
      <c r="B16" s="4">
        <f>SUM([1]UK!$J$2:$J$24)</f>
        <v>286.40750000000003</v>
      </c>
      <c r="C16" s="4">
        <f>SUM([1]UK!$J$25:$J$33)</f>
        <v>20.827500000000001</v>
      </c>
      <c r="D16" s="5">
        <f>SUM([1]UK!$J$34:$J$40)</f>
        <v>22.89</v>
      </c>
      <c r="E16" s="5">
        <f>SUM([1]UK!$J$41:$J$48)</f>
        <v>7.8375000000000004</v>
      </c>
      <c r="F16" s="5">
        <f>SUM([1]UK!$J$49:$J$55)</f>
        <v>7.8375000000000004</v>
      </c>
      <c r="G16" s="6">
        <f>SUM([1]UK!$J$56)</f>
        <v>0</v>
      </c>
      <c r="H16" s="6">
        <f>SUM([1]UK!$J$57)</f>
        <v>0</v>
      </c>
      <c r="I16" s="6">
        <f>SUM([1]UK!$J$58)</f>
        <v>0</v>
      </c>
      <c r="J16" s="6">
        <f>SUM([1]UK!$J$59)</f>
        <v>0</v>
      </c>
      <c r="K16" s="6">
        <f>SUM([1]UK!$J$60)</f>
        <v>0</v>
      </c>
      <c r="L16" s="6">
        <f>SUM([1]UK!$J$61)</f>
        <v>0</v>
      </c>
      <c r="M16" s="6">
        <f>SUM([1]UK!$J$62)</f>
        <v>0</v>
      </c>
      <c r="N16" s="6">
        <f>SUM([1]UK!$J$63)</f>
        <v>0</v>
      </c>
      <c r="O16" s="6">
        <f>SUM([1]UK!$J$64)</f>
        <v>0</v>
      </c>
      <c r="P16" s="6">
        <f>SUM([1]UK!$J$65)</f>
        <v>0</v>
      </c>
      <c r="Q16" s="6">
        <f>SUM([1]UK!$J$66)</f>
        <v>0</v>
      </c>
      <c r="R16" s="6">
        <f>SUM([1]UK!$J$67:$J$71)</f>
        <v>0</v>
      </c>
    </row>
    <row r="17" spans="1:18" x14ac:dyDescent="0.35">
      <c r="A17" t="e" vm="16">
        <v>#VALUE!</v>
      </c>
      <c r="B17" s="4">
        <f>SUM([1]Australia!$J$2:$J$24)</f>
        <v>372.35250000000002</v>
      </c>
      <c r="C17" s="4">
        <f>SUM([1]Australia!$J$25:$J$33)</f>
        <v>27.0825</v>
      </c>
      <c r="D17" s="5">
        <f>SUM([1]Australia!$J$34:$J$40)</f>
        <v>29.767500000000002</v>
      </c>
      <c r="E17" s="5">
        <f>SUM([1]Australia!$J$41:$J$48)</f>
        <v>10.192500000000001</v>
      </c>
      <c r="F17" s="5">
        <f>SUM([1]Australia!$J$49:$J$55)</f>
        <v>10.192500000000001</v>
      </c>
      <c r="G17" s="6">
        <f>SUM([1]Australia!$J$56)</f>
        <v>0</v>
      </c>
      <c r="H17" s="6">
        <f>SUM([1]Australia!$J$57)</f>
        <v>0</v>
      </c>
      <c r="I17" s="6">
        <f>SUM([1]Australia!$J$58)</f>
        <v>0</v>
      </c>
      <c r="J17" s="6">
        <f>SUM([1]Australia!$J$59)</f>
        <v>0</v>
      </c>
      <c r="K17" s="6">
        <f>SUM([1]Australia!$J$60)</f>
        <v>0</v>
      </c>
      <c r="L17" s="6">
        <f>SUM([1]Australia!$J$61)</f>
        <v>0</v>
      </c>
      <c r="M17" s="6">
        <f>SUM([1]Australia!$J$62)</f>
        <v>0</v>
      </c>
      <c r="N17" s="6">
        <f>SUM([1]Australia!$J$63)</f>
        <v>0</v>
      </c>
      <c r="O17" s="6">
        <f>SUM([1]Australia!$J$64)</f>
        <v>0</v>
      </c>
      <c r="P17" s="6">
        <f>SUM([1]Australia!$J$65)</f>
        <v>0</v>
      </c>
      <c r="Q17" s="6">
        <f>SUM([1]Australia!$J$66)</f>
        <v>0</v>
      </c>
      <c r="R17" s="6">
        <f>SUM([1]Australia!$J$67:$J$71)</f>
        <v>0</v>
      </c>
    </row>
    <row r="18" spans="1:18" x14ac:dyDescent="0.35">
      <c r="A18" t="e" vm="17">
        <v>#VALUE!</v>
      </c>
      <c r="B18" s="4">
        <f>SUM([1]India!$J$2:$J$24)</f>
        <v>358.04250000000002</v>
      </c>
      <c r="C18" s="4">
        <f>SUM([1]India!$J$25:$J$33)</f>
        <v>26.047499999999999</v>
      </c>
      <c r="D18" s="5">
        <f>SUM([1]India!$J$34:$J$40)</f>
        <v>28.627500000000001</v>
      </c>
      <c r="E18" s="5">
        <f>SUM([1]India!$J$41:$J$48)</f>
        <v>9.8025000000000002</v>
      </c>
      <c r="F18" s="5">
        <f>SUM([1]India!$J$49:$J$55)</f>
        <v>9.8025000000000002</v>
      </c>
      <c r="G18" s="6">
        <f>SUM([1]India!$J$56)</f>
        <v>0</v>
      </c>
      <c r="H18" s="6">
        <f>SUM([1]India!$J$57)</f>
        <v>0</v>
      </c>
      <c r="I18" s="6">
        <f>SUM([1]India!$J$58)</f>
        <v>0</v>
      </c>
      <c r="J18" s="6">
        <f>SUM([1]India!$J$59)</f>
        <v>0</v>
      </c>
      <c r="K18" s="6">
        <f>SUM([1]India!$J$60)</f>
        <v>0</v>
      </c>
      <c r="L18" s="6">
        <f>SUM([1]India!$J$61)</f>
        <v>0</v>
      </c>
      <c r="M18" s="6">
        <f>SUM([1]India!$J$62)</f>
        <v>0</v>
      </c>
      <c r="N18" s="6">
        <f>SUM([1]India!$J$63)</f>
        <v>0</v>
      </c>
      <c r="O18" s="6">
        <f>SUM([1]India!$J$64)</f>
        <v>0</v>
      </c>
      <c r="P18" s="6">
        <f>SUM([1]India!$J$65)</f>
        <v>0</v>
      </c>
      <c r="Q18" s="6">
        <f>SUM([1]India!$J$66)</f>
        <v>0</v>
      </c>
      <c r="R18" s="6">
        <f>SUM([1]India!$J$67:$J$71)</f>
        <v>0</v>
      </c>
    </row>
    <row r="19" spans="1:18" x14ac:dyDescent="0.35">
      <c r="A19" t="e" vm="18">
        <v>#VALUE!</v>
      </c>
      <c r="B19" s="4">
        <f>SUM([1]Indonesia!$J$2:$J$24)</f>
        <v>478.28250000000003</v>
      </c>
      <c r="C19" s="4">
        <f>SUM([1]Indonesia!$J$25:$J$33)</f>
        <v>34.777500000000003</v>
      </c>
      <c r="D19" s="5">
        <f>SUM([1]Indonesia!$J$34:$J$40)</f>
        <v>38.22</v>
      </c>
      <c r="E19" s="5">
        <f>SUM([1]Indonesia!$J$41:$J$48)</f>
        <v>13.087499999999999</v>
      </c>
      <c r="F19" s="5">
        <f>SUM([1]Indonesia!$J$49:$J$55)</f>
        <v>13.087499999999999</v>
      </c>
      <c r="G19" s="6">
        <f>SUM([1]Indonesia!$J$56)</f>
        <v>0</v>
      </c>
      <c r="H19" s="6">
        <f>SUM([1]Indonesia!$J$57)</f>
        <v>0</v>
      </c>
      <c r="I19" s="6">
        <f>SUM([1]Indonesia!$J$58)</f>
        <v>0</v>
      </c>
      <c r="J19" s="6">
        <f>SUM([1]Indonesia!$J$59)</f>
        <v>0</v>
      </c>
      <c r="K19" s="6">
        <f>SUM([1]Indonesia!$J$60)</f>
        <v>0</v>
      </c>
      <c r="L19" s="6">
        <f>SUM([1]Indonesia!$J$61)</f>
        <v>0</v>
      </c>
      <c r="M19" s="6">
        <f>SUM([1]Indonesia!$J$62)</f>
        <v>0</v>
      </c>
      <c r="N19" s="6">
        <f>SUM([1]Indonesia!$J$63)</f>
        <v>0</v>
      </c>
      <c r="O19" s="6">
        <f>SUM([1]Indonesia!$J$64)</f>
        <v>0</v>
      </c>
      <c r="P19" s="6">
        <f>SUM([1]Indonesia!$J$65)</f>
        <v>0</v>
      </c>
      <c r="Q19" s="6">
        <f>SUM([1]Indonesia!$J$66)</f>
        <v>0</v>
      </c>
      <c r="R19" s="6">
        <f>SUM([1]Indonesia!$J$67:$J$71)</f>
        <v>0</v>
      </c>
    </row>
    <row r="20" spans="1:18" x14ac:dyDescent="0.35">
      <c r="A20" t="e" vm="19">
        <v>#VALUE!</v>
      </c>
      <c r="B20" s="4">
        <f>SUM([1]Japan!$J$2:$J$24)</f>
        <v>578.52</v>
      </c>
      <c r="C20" s="4">
        <f>SUM([1]Japan!$J$25:$J$33)</f>
        <v>42.067500000000003</v>
      </c>
      <c r="D20" s="5">
        <f>SUM([1]Japan!$J$34:$J$40)</f>
        <v>46.237499999999997</v>
      </c>
      <c r="E20" s="5">
        <f>SUM([1]Japan!$J$41:$J$48)</f>
        <v>15.8325</v>
      </c>
      <c r="F20" s="5">
        <f>SUM([1]Japan!$J$49:$J$55)</f>
        <v>15.8325</v>
      </c>
      <c r="G20" s="6">
        <f>SUM([1]Japan!$J$56)</f>
        <v>0</v>
      </c>
      <c r="H20" s="6">
        <f>SUM([1]Japan!$J$57)</f>
        <v>0</v>
      </c>
      <c r="I20" s="6">
        <f>SUM([1]Japan!$J$58)</f>
        <v>0</v>
      </c>
      <c r="J20" s="6">
        <f>SUM([1]Japan!$J$59)</f>
        <v>0</v>
      </c>
      <c r="K20" s="6">
        <f>SUM([1]Japan!$J$60)</f>
        <v>0</v>
      </c>
      <c r="L20" s="6">
        <f>SUM([1]Japan!$J$61)</f>
        <v>0</v>
      </c>
      <c r="M20" s="6">
        <f>SUM([1]Japan!$J$62)</f>
        <v>0</v>
      </c>
      <c r="N20" s="6">
        <f>SUM([1]Japan!$J$63)</f>
        <v>0</v>
      </c>
      <c r="O20" s="6">
        <f>SUM([1]Japan!$J$64)</f>
        <v>0</v>
      </c>
      <c r="P20" s="6">
        <f>SUM([1]Japan!$J$65)</f>
        <v>0</v>
      </c>
      <c r="Q20" s="6">
        <f>SUM([1]Japan!$J$66)</f>
        <v>0</v>
      </c>
      <c r="R20" s="6">
        <f>SUM([1]Japan!$J$67:$J$71)</f>
        <v>0</v>
      </c>
    </row>
    <row r="21" spans="1:18" x14ac:dyDescent="0.35">
      <c r="A21" t="e" vm="20">
        <v>#VALUE!</v>
      </c>
      <c r="B21" s="4">
        <f>SUM([1]Malaysia!$J$2:$J$24)</f>
        <v>329.36250000000001</v>
      </c>
      <c r="C21" s="4">
        <f>SUM([1]Malaysia!$J$25:$J$33)</f>
        <v>23.955000000000002</v>
      </c>
      <c r="D21" s="5">
        <f>SUM([1]Malaysia!$J$34:$J$40)</f>
        <v>26.325000000000003</v>
      </c>
      <c r="E21" s="5">
        <f>SUM([1]Malaysia!$J$41:$J$48)</f>
        <v>9.0150000000000006</v>
      </c>
      <c r="F21" s="5">
        <f>SUM([1]Malaysia!$J$49:$J$55)</f>
        <v>9.0150000000000006</v>
      </c>
      <c r="G21" s="6">
        <f>SUM([1]Malaysia!$J$56)</f>
        <v>0</v>
      </c>
      <c r="H21" s="6">
        <f>SUM([1]Malaysia!$J$57)</f>
        <v>0</v>
      </c>
      <c r="I21" s="6">
        <f>SUM([1]Malaysia!$J$58)</f>
        <v>0</v>
      </c>
      <c r="J21" s="6">
        <f>SUM([1]Malaysia!$J$59)</f>
        <v>0</v>
      </c>
      <c r="K21" s="6">
        <f>SUM([1]Malaysia!$J$60)</f>
        <v>0</v>
      </c>
      <c r="L21" s="6">
        <f>SUM([1]Malaysia!$J$61)</f>
        <v>0</v>
      </c>
      <c r="M21" s="6">
        <f>SUM([1]Malaysia!$J$62)</f>
        <v>0</v>
      </c>
      <c r="N21" s="6">
        <f>SUM([1]Malaysia!$J$63)</f>
        <v>0</v>
      </c>
      <c r="O21" s="6">
        <f>SUM([1]Malaysia!$J$64)</f>
        <v>0</v>
      </c>
      <c r="P21" s="6">
        <f>SUM([1]Malaysia!$J$65)</f>
        <v>0</v>
      </c>
      <c r="Q21" s="6">
        <f>SUM([1]Malaysia!$J$66)</f>
        <v>0</v>
      </c>
      <c r="R21" s="6">
        <f>SUM([1]Malaysia!$J$67:$J$71)</f>
        <v>0</v>
      </c>
    </row>
    <row r="22" spans="1:18" x14ac:dyDescent="0.35">
      <c r="A22" t="e" vm="21">
        <v>#VALUE!</v>
      </c>
      <c r="B22" s="4">
        <f>SUM([1]Singapore!$J$2:$J$24)</f>
        <v>329.36250000000001</v>
      </c>
      <c r="C22" s="4">
        <f>SUM([1]Singapore!$J$25:$J$33)</f>
        <v>23.955000000000002</v>
      </c>
      <c r="D22" s="5">
        <f>SUM([1]Singapore!$J$34:$J$40)</f>
        <v>26.325000000000003</v>
      </c>
      <c r="E22" s="5">
        <f>SUM([1]Singapore!$J$41:$J$48)</f>
        <v>9.0150000000000006</v>
      </c>
      <c r="F22" s="5">
        <f>SUM([1]Singapore!$J$49:$J$55)</f>
        <v>9.0150000000000006</v>
      </c>
      <c r="G22" s="6">
        <f>SUM([1]Singapore!$J$56)</f>
        <v>0</v>
      </c>
      <c r="H22" s="6">
        <f>SUM([1]Singapore!$J$57)</f>
        <v>0</v>
      </c>
      <c r="I22" s="6">
        <f>SUM([1]Singapore!$J$58)</f>
        <v>0</v>
      </c>
      <c r="J22" s="6">
        <f>SUM([1]Singapore!$J$59)</f>
        <v>0</v>
      </c>
      <c r="K22" s="6">
        <f>SUM([1]Singapore!$J$60)</f>
        <v>0</v>
      </c>
      <c r="L22" s="6">
        <f>SUM([1]Singapore!$J$61)</f>
        <v>0</v>
      </c>
      <c r="M22" s="6">
        <f>SUM([1]Singapore!$J$62)</f>
        <v>0</v>
      </c>
      <c r="N22" s="6">
        <f>SUM([1]Singapore!$J$63)</f>
        <v>0</v>
      </c>
      <c r="O22" s="6">
        <f>SUM([1]Singapore!$J$64)</f>
        <v>0</v>
      </c>
      <c r="P22" s="6">
        <f>SUM([1]Singapore!$J$65)</f>
        <v>0</v>
      </c>
      <c r="Q22" s="6">
        <f>SUM([1]Singapore!$J$66)</f>
        <v>0</v>
      </c>
      <c r="R22" s="6">
        <f>SUM([1]Singapore!$J$67:$J$71)</f>
        <v>0</v>
      </c>
    </row>
    <row r="23" spans="1:18" x14ac:dyDescent="0.35">
      <c r="A23" t="e" vm="22">
        <v>#VALUE!</v>
      </c>
      <c r="B23" s="4">
        <f>SUM([1]Thailand!$J$2:$J$24)</f>
        <v>446.79750000000007</v>
      </c>
      <c r="C23" s="4">
        <f>SUM([1]Thailand!$J$25:$J$33)</f>
        <v>32.49</v>
      </c>
      <c r="D23" s="5">
        <f>SUM([1]Thailand!$J$34:$J$40)</f>
        <v>35.707500000000003</v>
      </c>
      <c r="E23" s="5">
        <f>SUM([1]Thailand!$J$41:$J$48)</f>
        <v>12.225000000000001</v>
      </c>
      <c r="F23" s="5">
        <f>SUM([1]Thailand!$J$49:$J$55)</f>
        <v>12.225000000000001</v>
      </c>
      <c r="G23" s="6">
        <f>SUM([1]Thailand!$J$56)</f>
        <v>0</v>
      </c>
      <c r="H23" s="6">
        <f>SUM([1]Thailand!$J$57)</f>
        <v>0</v>
      </c>
      <c r="I23" s="6">
        <f>SUM([1]Thailand!$J$58)</f>
        <v>0</v>
      </c>
      <c r="J23" s="6">
        <f>SUM([1]Thailand!$J$59)</f>
        <v>0</v>
      </c>
      <c r="K23" s="6">
        <f>SUM([1]Thailand!$J$60)</f>
        <v>0</v>
      </c>
      <c r="L23" s="6">
        <f>SUM([1]Thailand!$J$61)</f>
        <v>0</v>
      </c>
      <c r="M23" s="6">
        <f>SUM([1]Thailand!$J$62)</f>
        <v>0</v>
      </c>
      <c r="N23" s="6">
        <f>SUM([1]Thailand!$J$63)</f>
        <v>0</v>
      </c>
      <c r="O23" s="6">
        <f>SUM([1]Thailand!$J$64)</f>
        <v>0</v>
      </c>
      <c r="P23" s="6">
        <f>SUM([1]Thailand!$J$65)</f>
        <v>0</v>
      </c>
      <c r="Q23" s="6">
        <f>SUM([1]Thailand!$J$66)</f>
        <v>0</v>
      </c>
      <c r="R23" s="6">
        <f>SUM([1]Thailand!$J$67:$J$71)</f>
        <v>0</v>
      </c>
    </row>
    <row r="24" spans="1:18" x14ac:dyDescent="0.35">
      <c r="A24" t="e" vm="23">
        <v>#VALUE!</v>
      </c>
      <c r="B24" s="4">
        <f>SUM([1]Norway!$J$2:$J$25)</f>
        <v>573.82000000000005</v>
      </c>
      <c r="C24" s="4">
        <f>SUM([1]Norway!$J$26:$J$32)</f>
        <v>34.340000000000003</v>
      </c>
      <c r="D24" s="5">
        <f>SUM([1]Norway!$J$45:$J$50)</f>
        <v>14.84</v>
      </c>
      <c r="E24" s="5">
        <f>SUM([1]Norway!$J$62:$J$68)</f>
        <v>14.84</v>
      </c>
      <c r="F24" s="5">
        <f>SUM([1]Norway!$J$69:$J$74)</f>
        <v>14.84</v>
      </c>
      <c r="G24" s="9">
        <f>SUM([1]Norway!$J$75)</f>
        <v>0</v>
      </c>
      <c r="H24" s="9">
        <f>SUM([1]Norway!$J$76)</f>
        <v>0</v>
      </c>
      <c r="I24" s="9">
        <f>SUM([1]Norway!$J$77)</f>
        <v>0</v>
      </c>
      <c r="J24" s="9">
        <f>SUM([1]Norway!$J$78)</f>
        <v>0</v>
      </c>
      <c r="K24" s="9">
        <f>SUM([1]Norway!$J$79)</f>
        <v>0</v>
      </c>
      <c r="L24" s="9">
        <f>SUM([1]Norway!$J$80)</f>
        <v>0</v>
      </c>
      <c r="M24" s="9">
        <f>SUM([1]Norway!$J$81)</f>
        <v>0</v>
      </c>
      <c r="N24" s="9">
        <f>SUM([1]Norway!$J$82)</f>
        <v>0</v>
      </c>
      <c r="O24" s="9">
        <f>SUM([1]Norway!$J$83)</f>
        <v>0</v>
      </c>
      <c r="P24" s="9">
        <f>SUM([1]Norway!$J$84:$J$85)</f>
        <v>0</v>
      </c>
      <c r="Q24" s="9">
        <f>SUM([1]Norway!$J$86)</f>
        <v>0</v>
      </c>
      <c r="R24" s="9">
        <f>SUM([1]Norway!$J$87:$J$91)</f>
        <v>0</v>
      </c>
    </row>
    <row r="25" spans="1:18" x14ac:dyDescent="0.35">
      <c r="A25" t="e" vm="24">
        <v>#VALUE!</v>
      </c>
      <c r="B25" s="4">
        <f>SUM([1]Poland!$I$2:$I$25)</f>
        <v>478.26000000000005</v>
      </c>
      <c r="C25" s="4">
        <f>SUM([1]Poland!$I$26:$I$32)</f>
        <v>28.64</v>
      </c>
      <c r="D25" s="5">
        <f>SUM([1]Poland!$I$45:$I$50)</f>
        <v>12.38</v>
      </c>
      <c r="E25" s="5">
        <f>SUM([1]Poland!$I$62:$I$68)</f>
        <v>12.38</v>
      </c>
      <c r="F25" s="5">
        <f>SUM([1]Poland!$I$69:$I$74)</f>
        <v>12.38</v>
      </c>
      <c r="G25" s="9">
        <f>SUM([1]Poland!$I$75)</f>
        <v>0</v>
      </c>
      <c r="H25" s="9">
        <f>SUM([1]Poland!$I$76)</f>
        <v>0</v>
      </c>
      <c r="I25" s="9">
        <f>SUM([1]Poland!$I$77)</f>
        <v>0</v>
      </c>
      <c r="J25" s="9">
        <f>SUM([1]Poland!$I$78)</f>
        <v>0</v>
      </c>
      <c r="K25" s="9">
        <f>SUM([1]Poland!$I$79)</f>
        <v>0</v>
      </c>
      <c r="L25" s="9">
        <f>SUM([1]Poland!$I$80)</f>
        <v>0</v>
      </c>
      <c r="M25" s="9">
        <f>SUM([1]Poland!$I$81)</f>
        <v>0</v>
      </c>
      <c r="N25" s="9">
        <f>SUM([1]Poland!$I$82)</f>
        <v>0</v>
      </c>
      <c r="O25" s="9">
        <f>SUM([1]Poland!$I$83)</f>
        <v>0</v>
      </c>
      <c r="P25" s="9">
        <f>SUM([1]Poland!$I$84:$I$85)</f>
        <v>0</v>
      </c>
      <c r="Q25" s="9">
        <f>SUM([1]Poland!$I$86)</f>
        <v>0</v>
      </c>
      <c r="R25" s="9">
        <f>SUM([1]Poland!$I$87:$I$91)</f>
        <v>0</v>
      </c>
    </row>
    <row r="26" spans="1:18" x14ac:dyDescent="0.35">
      <c r="A26" t="e" vm="25">
        <v>#VALUE!</v>
      </c>
      <c r="B26" s="4">
        <f>SUM([1]Philippines!$J$2:$J$25)</f>
        <v>573.82000000000005</v>
      </c>
      <c r="C26" s="4">
        <f>SUM([1]Philippines!$J$26:$J$32)</f>
        <v>34.340000000000003</v>
      </c>
      <c r="D26" s="5">
        <f>SUM([1]Philippines!$J$45:$J$50)</f>
        <v>14.84</v>
      </c>
      <c r="E26" s="5">
        <f>SUM([1]Philippines!$J$62:$J$68)</f>
        <v>14.84</v>
      </c>
      <c r="F26" s="5">
        <f>SUM([1]Philippines!$J$69:$J$74)</f>
        <v>14.84</v>
      </c>
      <c r="G26" s="9">
        <f>SUM([1]Philippines!$J$75)</f>
        <v>0</v>
      </c>
      <c r="H26" s="9">
        <f>SUM([1]Philippines!$J$76)</f>
        <v>0</v>
      </c>
      <c r="I26" s="9">
        <f>SUM([1]Philippines!$J$77)</f>
        <v>0</v>
      </c>
      <c r="J26" s="9">
        <f>SUM([1]Philippines!$J$78)</f>
        <v>0</v>
      </c>
      <c r="K26" s="9">
        <f>SUM([1]Philippines!$J$79)</f>
        <v>0</v>
      </c>
      <c r="L26" s="9">
        <f>SUM([1]Philippines!$J$80)</f>
        <v>0</v>
      </c>
      <c r="M26" s="9">
        <f>SUM([1]Philippines!$J$81)</f>
        <v>0</v>
      </c>
      <c r="N26" s="9">
        <f>SUM([1]Philippines!$J$82)</f>
        <v>0</v>
      </c>
      <c r="O26" s="9">
        <f>SUM([1]Philippines!$J$83)</f>
        <v>0</v>
      </c>
      <c r="P26" s="9">
        <f>SUM([1]Philippines!$J$84:$J$85)</f>
        <v>0</v>
      </c>
      <c r="Q26" s="9">
        <f>SUM([1]Philippines!$J$86)</f>
        <v>0</v>
      </c>
      <c r="R26" s="9">
        <f>SUM([1]Philippines!$J$87:$J$91)</f>
        <v>0</v>
      </c>
    </row>
  </sheetData>
  <pageMargins left="0.7" right="0.7" top="0.75" bottom="0.75" header="0.3" footer="0.3"/>
  <headerFooter>
    <oddFooter>&amp;C_x000D_&amp;1#&amp;"Calibri"&amp;10&amp;K008000 INTERNAL</oddFooter>
  </headerFooter>
  <tableParts count="1">
    <tablePart r:id="rId1"/>
  </tableParts>
</worksheet>
</file>

<file path=docMetadata/LabelInfo.xml><?xml version="1.0" encoding="utf-8"?>
<clbl:labelList xmlns:clbl="http://schemas.microsoft.com/office/2020/mipLabelMetadata">
  <clbl:label id="{d7b2f555-efd0-47ca-8acc-b44f6dd8d9cb}" enabled="1" method="Privileged" siteId="{a2d8e6b4-e26e-4421-8f3d-ec288c827c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Naveen</dc:creator>
  <cp:lastModifiedBy>Omkar, Naveen</cp:lastModifiedBy>
  <dcterms:created xsi:type="dcterms:W3CDTF">2025-07-17T14:34:35Z</dcterms:created>
  <dcterms:modified xsi:type="dcterms:W3CDTF">2025-07-17T14:35:18Z</dcterms:modified>
</cp:coreProperties>
</file>