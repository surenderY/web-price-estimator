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ools\WOR Prod\5.0\"/>
    </mc:Choice>
  </mc:AlternateContent>
  <xr:revisionPtr revIDLastSave="0" documentId="8_{38E71D0F-D898-4DEA-9F2C-52BD8348171B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Estimator Input" sheetId="1" r:id="rId1"/>
    <sheet name="For GSO Team" sheetId="2" r:id="rId2"/>
    <sheet name="CSOW Pricing &amp; WWT Cost (2)" sheetId="3" r:id="rId3"/>
    <sheet name="OLD" sheetId="4" r:id="rId4"/>
    <sheet name="Summary" sheetId="5" r:id="rId5"/>
    <sheet name="Changelog" sheetId="6" state="hidden" r:id="rId6"/>
    <sheet name="Currency" sheetId="7" state="hidden" r:id="rId7"/>
    <sheet name="Summary Old" sheetId="8" state="hidden" r:id="rId8"/>
    <sheet name="WWT IC w FY25 pricing" sheetId="9" state="hidden" r:id="rId9"/>
    <sheet name="PSOW PPT Install" sheetId="10" state="hidden" r:id="rId10"/>
    <sheet name="PMO Resources" sheetId="11" state="hidden" r:id="rId11"/>
    <sheet name="Other Expenses" sheetId="12" state="hidden" r:id="rId12"/>
    <sheet name="Sheet1" sheetId="13" state="hidden" r:id="rId13"/>
    <sheet name="Managed Services" sheetId="14" state="hidden" r:id="rId14"/>
    <sheet name="Variables" sheetId="15" state="hidden" r:id="rId15"/>
    <sheet name="Input" sheetId="16" state="hidden" r:id="rId16"/>
    <sheet name="Working" sheetId="17" state="hidden" r:id="rId17"/>
    <sheet name="Change Log" sheetId="18" state="hidden" r:id="rId18"/>
    <sheet name="Supply Chain Services" sheetId="19" state="hidden" r:id="rId19"/>
  </sheets>
  <externalReferences>
    <externalReference r:id="rId20"/>
    <externalReference r:id="rId21"/>
    <externalReference r:id="rId22"/>
    <externalReference r:id="rId23"/>
  </externalReferences>
  <definedNames>
    <definedName name="_xlnm._FilterDatabase" localSheetId="17" hidden="1">'Change Log'!$A$1:$H$22</definedName>
    <definedName name="Critical_CSCC">#REF!</definedName>
    <definedName name="Current__Commit_for_Other_Stakeholder">[1]LOV!#REF!</definedName>
    <definedName name="Desired_Support">#REF!</definedName>
    <definedName name="HTML_CodePage" hidden="1">1252</definedName>
    <definedName name="HTML_Control" localSheetId="2" hidden="1">{"'Open Issues'!$A$2:$I$9"}</definedName>
    <definedName name="HTML_Control" localSheetId="3" hidden="1">{"'Open Issues'!$A$2:$I$9"}</definedName>
    <definedName name="HTML_Control" hidden="1">{"'Open Issues'!$A$2:$I$9"}</definedName>
    <definedName name="HTML_Description" hidden="1">""</definedName>
    <definedName name="HTML_Email" hidden="1">"andy_harris@hp.com"</definedName>
    <definedName name="HTML_Header" hidden="1">"Clarify European Deployment Issuelist"</definedName>
    <definedName name="HTML_LastUpdate" hidden="1">"26/03/99"</definedName>
    <definedName name="HTML_LineAfter" hidden="1">FALSE</definedName>
    <definedName name="HTML_LineBefore" hidden="1">FALSE</definedName>
    <definedName name="HTML_Name" hidden="1">"Andy Harris TN 31-28568"</definedName>
    <definedName name="HTML_OBDlg2" hidden="1">TRUE</definedName>
    <definedName name="HTML_OBDlg4" hidden="1">TRUE</definedName>
    <definedName name="HTML_OS" hidden="1">0</definedName>
    <definedName name="HTML_PathFile" hidden="1">"I:\DATA\Projects\WFM\WFM 2.0\Management\Project HTML\clf_iss.html"</definedName>
    <definedName name="HTML_Title" hidden="1">"Clarify European Deployment Issuelist"</definedName>
    <definedName name="Pri">#REF!</definedName>
    <definedName name="_xlnm.Print_Titles" localSheetId="17">'Change Log'!$1:$1</definedName>
    <definedName name="PriorityLevel">#REF!</definedName>
    <definedName name="PSCommandCenter">#REF!</definedName>
    <definedName name="Role">[2]LOV!$C$4:$C$8</definedName>
    <definedName name="Stakeholder_Commitment">[1]LOV!#REF!</definedName>
    <definedName name="Stat">#REF!</definedName>
    <definedName name="Status">#REF!</definedName>
    <definedName name="Type_Area">[3]DropDown_Elements!$A$2:$A$30</definedName>
    <definedName name="Vehicle_Area">[3]DropDown_Elements!$C$2:$C$30</definedName>
    <definedName name="WBSContingency">#REF!</definedName>
    <definedName name="WBSEngineeringLabor">#REF!</definedName>
    <definedName name="WBSMisc">#REF!</definedName>
    <definedName name="WBSOEMServices">#REF!</definedName>
    <definedName name="WBSProjectManagementLabor">#REF!</definedName>
    <definedName name="WBSSubcontractedWork">#REF!</definedName>
    <definedName name="WBSTop">#REF!</definedName>
    <definedName name="WBSTraining">#REF!</definedName>
    <definedName name="Y">#REF!</definedName>
    <definedName name="YN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9" l="1"/>
  <c r="H18" i="19" s="1"/>
  <c r="F17" i="19"/>
  <c r="H17" i="19" s="1"/>
  <c r="F15" i="19"/>
  <c r="H15" i="19" s="1"/>
  <c r="H9" i="19"/>
  <c r="H27" i="19" s="1"/>
  <c r="A5" i="19"/>
  <c r="A4" i="19"/>
  <c r="A16" i="18" a="1"/>
  <c r="A16" i="18" s="1"/>
  <c r="I195" i="17"/>
  <c r="H195" i="17"/>
  <c r="I194" i="17"/>
  <c r="H194" i="17"/>
  <c r="I193" i="17"/>
  <c r="H193" i="17"/>
  <c r="I192" i="17"/>
  <c r="H192" i="17"/>
  <c r="I191" i="17"/>
  <c r="H191" i="17"/>
  <c r="I190" i="17"/>
  <c r="H190" i="17"/>
  <c r="I189" i="17"/>
  <c r="H189" i="17"/>
  <c r="I188" i="17"/>
  <c r="H188" i="17"/>
  <c r="F187" i="17"/>
  <c r="H187" i="17" s="1"/>
  <c r="I187" i="17" s="1"/>
  <c r="I186" i="17"/>
  <c r="H186" i="17"/>
  <c r="H185" i="17"/>
  <c r="I185" i="17" s="1"/>
  <c r="H184" i="17"/>
  <c r="I184" i="17" s="1"/>
  <c r="H183" i="17"/>
  <c r="I183" i="17" s="1"/>
  <c r="I182" i="17"/>
  <c r="H182" i="17"/>
  <c r="B180" i="17"/>
  <c r="F180" i="17" s="1"/>
  <c r="H180" i="17" s="1"/>
  <c r="I180" i="17" s="1"/>
  <c r="B179" i="17"/>
  <c r="H177" i="17"/>
  <c r="I177" i="17" s="1"/>
  <c r="F177" i="17"/>
  <c r="F176" i="17"/>
  <c r="H176" i="17" s="1"/>
  <c r="I176" i="17" s="1"/>
  <c r="I175" i="17"/>
  <c r="H175" i="17"/>
  <c r="F175" i="17"/>
  <c r="F173" i="17"/>
  <c r="H173" i="17" s="1"/>
  <c r="I173" i="17" s="1"/>
  <c r="B170" i="17"/>
  <c r="B169" i="17"/>
  <c r="B168" i="17"/>
  <c r="H167" i="17"/>
  <c r="I167" i="17" s="1"/>
  <c r="F167" i="17"/>
  <c r="B167" i="17"/>
  <c r="B164" i="17"/>
  <c r="B163" i="17"/>
  <c r="B160" i="17"/>
  <c r="B159" i="17"/>
  <c r="B158" i="17"/>
  <c r="B157" i="17"/>
  <c r="H153" i="17"/>
  <c r="I153" i="17" s="1"/>
  <c r="F153" i="17"/>
  <c r="I152" i="17"/>
  <c r="H152" i="17"/>
  <c r="F151" i="17"/>
  <c r="H151" i="17" s="1"/>
  <c r="I151" i="17" s="1"/>
  <c r="H150" i="17"/>
  <c r="I150" i="17" s="1"/>
  <c r="F150" i="17"/>
  <c r="F149" i="17"/>
  <c r="H149" i="17" s="1"/>
  <c r="I149" i="17" s="1"/>
  <c r="H148" i="17"/>
  <c r="I148" i="17" s="1"/>
  <c r="H147" i="17"/>
  <c r="I147" i="17" s="1"/>
  <c r="F147" i="17"/>
  <c r="F146" i="17"/>
  <c r="H146" i="17" s="1"/>
  <c r="I146" i="17" s="1"/>
  <c r="H145" i="17"/>
  <c r="I145" i="17" s="1"/>
  <c r="F145" i="17"/>
  <c r="I144" i="17"/>
  <c r="H144" i="17"/>
  <c r="F144" i="17"/>
  <c r="H143" i="17"/>
  <c r="I143" i="17" s="1"/>
  <c r="H142" i="17"/>
  <c r="I142" i="17" s="1"/>
  <c r="F142" i="17"/>
  <c r="I141" i="17"/>
  <c r="H141" i="17"/>
  <c r="F141" i="17"/>
  <c r="H140" i="17"/>
  <c r="I140" i="17" s="1"/>
  <c r="F140" i="17"/>
  <c r="I139" i="17"/>
  <c r="H139" i="17"/>
  <c r="B131" i="17"/>
  <c r="B130" i="17"/>
  <c r="B129" i="17"/>
  <c r="B128" i="17"/>
  <c r="B125" i="17"/>
  <c r="B124" i="17"/>
  <c r="B123" i="17"/>
  <c r="B121" i="17"/>
  <c r="B120" i="17"/>
  <c r="B111" i="17"/>
  <c r="B110" i="17"/>
  <c r="B109" i="17"/>
  <c r="B108" i="17"/>
  <c r="F107" i="17"/>
  <c r="H107" i="17" s="1"/>
  <c r="I107" i="17" s="1"/>
  <c r="B107" i="17"/>
  <c r="I106" i="17"/>
  <c r="F106" i="17"/>
  <c r="H106" i="17" s="1"/>
  <c r="B106" i="17"/>
  <c r="B104" i="17"/>
  <c r="B103" i="17"/>
  <c r="B102" i="17"/>
  <c r="B101" i="17"/>
  <c r="B100" i="17"/>
  <c r="F99" i="17"/>
  <c r="H99" i="17" s="1"/>
  <c r="I99" i="17" s="1"/>
  <c r="B99" i="17"/>
  <c r="B98" i="17"/>
  <c r="B95" i="17"/>
  <c r="B94" i="17"/>
  <c r="B93" i="17"/>
  <c r="B92" i="17"/>
  <c r="B90" i="17"/>
  <c r="B89" i="17"/>
  <c r="F88" i="17"/>
  <c r="H88" i="17" s="1"/>
  <c r="I88" i="17" s="1"/>
  <c r="B88" i="17"/>
  <c r="B87" i="17"/>
  <c r="B82" i="17"/>
  <c r="B81" i="17"/>
  <c r="B80" i="17"/>
  <c r="B79" i="17"/>
  <c r="B75" i="17"/>
  <c r="B71" i="17"/>
  <c r="B70" i="17"/>
  <c r="B69" i="17"/>
  <c r="B67" i="17"/>
  <c r="F66" i="17"/>
  <c r="H66" i="17" s="1"/>
  <c r="I66" i="17" s="1"/>
  <c r="B66" i="17"/>
  <c r="B65" i="17"/>
  <c r="B64" i="17"/>
  <c r="B62" i="17"/>
  <c r="B61" i="17"/>
  <c r="F60" i="17"/>
  <c r="H60" i="17" s="1"/>
  <c r="I60" i="17" s="1"/>
  <c r="B60" i="17"/>
  <c r="B59" i="17"/>
  <c r="B57" i="17"/>
  <c r="B50" i="17"/>
  <c r="B49" i="17"/>
  <c r="B48" i="17"/>
  <c r="B47" i="17"/>
  <c r="B45" i="17"/>
  <c r="B44" i="17"/>
  <c r="F43" i="17"/>
  <c r="H43" i="17" s="1"/>
  <c r="I43" i="17" s="1"/>
  <c r="B43" i="17"/>
  <c r="B42" i="17"/>
  <c r="F41" i="17"/>
  <c r="H41" i="17" s="1"/>
  <c r="I41" i="17" s="1"/>
  <c r="B41" i="17"/>
  <c r="B40" i="17"/>
  <c r="B39" i="17"/>
  <c r="B38" i="17"/>
  <c r="B36" i="17"/>
  <c r="B35" i="17"/>
  <c r="B32" i="17"/>
  <c r="B28" i="17"/>
  <c r="B27" i="17"/>
  <c r="F26" i="17"/>
  <c r="H26" i="17" s="1"/>
  <c r="I26" i="17" s="1"/>
  <c r="B26" i="17"/>
  <c r="B25" i="17"/>
  <c r="B24" i="17"/>
  <c r="B23" i="17"/>
  <c r="B22" i="17"/>
  <c r="B19" i="17"/>
  <c r="I18" i="17"/>
  <c r="F18" i="17"/>
  <c r="H18" i="17" s="1"/>
  <c r="B18" i="17"/>
  <c r="B17" i="17"/>
  <c r="B16" i="17"/>
  <c r="B15" i="17"/>
  <c r="B14" i="17"/>
  <c r="B13" i="17"/>
  <c r="B12" i="17"/>
  <c r="B11" i="17"/>
  <c r="B10" i="17"/>
  <c r="B9" i="17"/>
  <c r="F8" i="17"/>
  <c r="H8" i="17" s="1"/>
  <c r="I8" i="17" s="1"/>
  <c r="B8" i="17"/>
  <c r="B7" i="17"/>
  <c r="B6" i="17"/>
  <c r="B5" i="17"/>
  <c r="B4" i="17"/>
  <c r="B358" i="16"/>
  <c r="B357" i="16"/>
  <c r="B356" i="16"/>
  <c r="B355" i="16"/>
  <c r="B354" i="16"/>
  <c r="B353" i="16"/>
  <c r="B352" i="16"/>
  <c r="B351" i="16"/>
  <c r="B350" i="16"/>
  <c r="B349" i="16"/>
  <c r="B348" i="16"/>
  <c r="B347" i="16"/>
  <c r="B346" i="16"/>
  <c r="B345" i="16"/>
  <c r="B344" i="16"/>
  <c r="B343" i="16"/>
  <c r="B342" i="16"/>
  <c r="B341" i="16"/>
  <c r="B340" i="16"/>
  <c r="B339" i="16"/>
  <c r="B338" i="16"/>
  <c r="B337" i="16"/>
  <c r="B336" i="16"/>
  <c r="B335" i="16"/>
  <c r="B334" i="16"/>
  <c r="B333" i="16"/>
  <c r="B332" i="16"/>
  <c r="B331" i="16"/>
  <c r="B330" i="16"/>
  <c r="B329" i="16"/>
  <c r="B328" i="16"/>
  <c r="B327" i="16"/>
  <c r="B326" i="16"/>
  <c r="B325" i="16"/>
  <c r="B324" i="16"/>
  <c r="B323" i="16"/>
  <c r="B322" i="16"/>
  <c r="B321" i="16"/>
  <c r="B320" i="16"/>
  <c r="B319" i="16"/>
  <c r="B318" i="16"/>
  <c r="B317" i="16"/>
  <c r="B316" i="16"/>
  <c r="B315" i="16"/>
  <c r="B314" i="16"/>
  <c r="B313" i="16"/>
  <c r="B312" i="16"/>
  <c r="B311" i="16"/>
  <c r="B310" i="16"/>
  <c r="B309" i="16"/>
  <c r="B308" i="16"/>
  <c r="B307" i="16"/>
  <c r="B306" i="16"/>
  <c r="B305" i="16"/>
  <c r="B304" i="16"/>
  <c r="B303" i="16"/>
  <c r="B302" i="16"/>
  <c r="B301" i="16"/>
  <c r="B300" i="16"/>
  <c r="B299" i="16"/>
  <c r="B298" i="16"/>
  <c r="B297" i="16"/>
  <c r="B296" i="16"/>
  <c r="B295" i="16"/>
  <c r="B294" i="16"/>
  <c r="B293" i="16"/>
  <c r="B292" i="16"/>
  <c r="B291" i="16"/>
  <c r="B290" i="16"/>
  <c r="B289" i="16"/>
  <c r="B288" i="16"/>
  <c r="B287" i="16"/>
  <c r="B286" i="16"/>
  <c r="B285" i="16"/>
  <c r="B284" i="16"/>
  <c r="B283" i="16"/>
  <c r="B282" i="16"/>
  <c r="B281" i="16"/>
  <c r="B280" i="16"/>
  <c r="B279" i="16"/>
  <c r="B278" i="16"/>
  <c r="B277" i="16"/>
  <c r="B276" i="16"/>
  <c r="B275" i="16"/>
  <c r="B274" i="16"/>
  <c r="B273" i="16"/>
  <c r="B272" i="16"/>
  <c r="B271" i="16"/>
  <c r="B270" i="16"/>
  <c r="B269" i="16"/>
  <c r="B268" i="16"/>
  <c r="B267" i="16"/>
  <c r="B266" i="16"/>
  <c r="B265" i="16"/>
  <c r="B264" i="16"/>
  <c r="B263" i="16"/>
  <c r="B262" i="16"/>
  <c r="B261" i="16"/>
  <c r="B260" i="16"/>
  <c r="B259" i="16"/>
  <c r="B258" i="16"/>
  <c r="B257" i="16"/>
  <c r="B256" i="16"/>
  <c r="B255" i="16"/>
  <c r="B254" i="16"/>
  <c r="B253" i="16"/>
  <c r="B252" i="16"/>
  <c r="B251" i="16"/>
  <c r="B250" i="16"/>
  <c r="B249" i="16"/>
  <c r="B248" i="16"/>
  <c r="B247" i="16"/>
  <c r="B246" i="16"/>
  <c r="B245" i="16"/>
  <c r="B244" i="16"/>
  <c r="B243" i="16"/>
  <c r="B242" i="16"/>
  <c r="B241" i="16"/>
  <c r="B240" i="16"/>
  <c r="B239" i="16"/>
  <c r="B238" i="16"/>
  <c r="B237" i="16"/>
  <c r="B236" i="16"/>
  <c r="B235" i="16"/>
  <c r="B234" i="16"/>
  <c r="B233" i="16"/>
  <c r="B232" i="16"/>
  <c r="B231" i="16"/>
  <c r="B230" i="16"/>
  <c r="B229" i="16"/>
  <c r="B228" i="16"/>
  <c r="B227" i="16"/>
  <c r="B226" i="16"/>
  <c r="B225" i="16"/>
  <c r="B224" i="16"/>
  <c r="B223" i="16"/>
  <c r="B222" i="16"/>
  <c r="B221" i="16"/>
  <c r="B220" i="16"/>
  <c r="B219" i="16"/>
  <c r="B218" i="16"/>
  <c r="B217" i="16"/>
  <c r="B216" i="16"/>
  <c r="B215" i="16"/>
  <c r="B214" i="16"/>
  <c r="B213" i="16"/>
  <c r="B212" i="16"/>
  <c r="B211" i="16"/>
  <c r="B210" i="16"/>
  <c r="B209" i="16"/>
  <c r="B208" i="16"/>
  <c r="B207" i="16"/>
  <c r="B206" i="16"/>
  <c r="B205" i="16"/>
  <c r="B204" i="16"/>
  <c r="B203" i="16"/>
  <c r="B202" i="16"/>
  <c r="B201" i="16"/>
  <c r="B200" i="16"/>
  <c r="B199" i="16"/>
  <c r="B198" i="16"/>
  <c r="B197" i="16"/>
  <c r="B196" i="16"/>
  <c r="B195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F42" i="17" s="1"/>
  <c r="H42" i="17" s="1"/>
  <c r="I42" i="17" s="1"/>
  <c r="B7" i="16"/>
  <c r="B6" i="16"/>
  <c r="B5" i="16"/>
  <c r="B4" i="16"/>
  <c r="B3" i="16"/>
  <c r="B2" i="16"/>
  <c r="F70" i="17" s="1"/>
  <c r="H70" i="17" s="1"/>
  <c r="I70" i="17" s="1"/>
  <c r="H20" i="12"/>
  <c r="F20" i="12"/>
  <c r="F19" i="12"/>
  <c r="H19" i="12" s="1"/>
  <c r="H18" i="12"/>
  <c r="F18" i="12"/>
  <c r="F17" i="12"/>
  <c r="H17" i="12" s="1"/>
  <c r="H16" i="12"/>
  <c r="F16" i="12"/>
  <c r="F15" i="12"/>
  <c r="H15" i="12" s="1"/>
  <c r="H14" i="12"/>
  <c r="F14" i="12"/>
  <c r="F13" i="12"/>
  <c r="H13" i="12" s="1"/>
  <c r="H12" i="12"/>
  <c r="F12" i="12"/>
  <c r="F11" i="12"/>
  <c r="A5" i="12"/>
  <c r="A4" i="12"/>
  <c r="E9" i="11"/>
  <c r="E8" i="11"/>
  <c r="E7" i="11"/>
  <c r="E6" i="11"/>
  <c r="E5" i="11"/>
  <c r="Q45" i="10"/>
  <c r="H45" i="10"/>
  <c r="Q44" i="10"/>
  <c r="H44" i="10"/>
  <c r="Q43" i="10"/>
  <c r="H43" i="10"/>
  <c r="Q42" i="10"/>
  <c r="H42" i="10"/>
  <c r="Q41" i="10"/>
  <c r="H41" i="10"/>
  <c r="Q40" i="10"/>
  <c r="H40" i="10"/>
  <c r="Q39" i="10"/>
  <c r="H39" i="10"/>
  <c r="Q38" i="10"/>
  <c r="H38" i="10"/>
  <c r="Q37" i="10"/>
  <c r="H37" i="10"/>
  <c r="Q36" i="10"/>
  <c r="H36" i="10"/>
  <c r="Q35" i="10"/>
  <c r="H35" i="10"/>
  <c r="Q34" i="10"/>
  <c r="H34" i="10"/>
  <c r="Q33" i="10"/>
  <c r="H33" i="10"/>
  <c r="Q32" i="10"/>
  <c r="H32" i="10"/>
  <c r="Q31" i="10"/>
  <c r="H31" i="10"/>
  <c r="Q30" i="10"/>
  <c r="H30" i="10"/>
  <c r="Q29" i="10"/>
  <c r="H29" i="10"/>
  <c r="Q28" i="10"/>
  <c r="H28" i="10"/>
  <c r="Q27" i="10"/>
  <c r="H27" i="10"/>
  <c r="Q26" i="10"/>
  <c r="H26" i="10"/>
  <c r="Q25" i="10"/>
  <c r="H25" i="10"/>
  <c r="Q24" i="10"/>
  <c r="H24" i="10"/>
  <c r="Q23" i="10"/>
  <c r="H23" i="10"/>
  <c r="Q22" i="10"/>
  <c r="H22" i="10"/>
  <c r="Q21" i="10"/>
  <c r="H21" i="10"/>
  <c r="Q20" i="10"/>
  <c r="H20" i="10"/>
  <c r="Q19" i="10"/>
  <c r="H19" i="10"/>
  <c r="Q18" i="10"/>
  <c r="H18" i="10"/>
  <c r="Q17" i="10"/>
  <c r="H17" i="10"/>
  <c r="Q16" i="10"/>
  <c r="H16" i="10"/>
  <c r="Q15" i="10"/>
  <c r="H15" i="10"/>
  <c r="Q14" i="10"/>
  <c r="H14" i="10"/>
  <c r="Q13" i="10"/>
  <c r="H13" i="10"/>
  <c r="Q12" i="10"/>
  <c r="H12" i="10"/>
  <c r="Q11" i="10"/>
  <c r="H11" i="10"/>
  <c r="Q10" i="10"/>
  <c r="H10" i="10"/>
  <c r="Q9" i="10"/>
  <c r="H9" i="10"/>
  <c r="Q8" i="10"/>
  <c r="H8" i="10"/>
  <c r="Q7" i="10"/>
  <c r="H7" i="10"/>
  <c r="Q6" i="10"/>
  <c r="H6" i="10"/>
  <c r="Q5" i="10"/>
  <c r="H5" i="10"/>
  <c r="Q4" i="10"/>
  <c r="H4" i="10"/>
  <c r="Q3" i="10"/>
  <c r="H3" i="10"/>
  <c r="Q40" i="9"/>
  <c r="M40" i="9"/>
  <c r="N40" i="9" s="1"/>
  <c r="L40" i="9"/>
  <c r="K40" i="9"/>
  <c r="I40" i="9"/>
  <c r="J40" i="9" s="1"/>
  <c r="H40" i="9"/>
  <c r="G40" i="9"/>
  <c r="C40" i="9"/>
  <c r="D40" i="9" s="1"/>
  <c r="O40" i="9" s="1"/>
  <c r="Q39" i="9"/>
  <c r="M39" i="9"/>
  <c r="N39" i="9" s="1"/>
  <c r="L39" i="9"/>
  <c r="K39" i="9"/>
  <c r="I39" i="9"/>
  <c r="J39" i="9" s="1"/>
  <c r="H39" i="9"/>
  <c r="G39" i="9"/>
  <c r="C39" i="9"/>
  <c r="D39" i="9" s="1"/>
  <c r="O39" i="9" s="1"/>
  <c r="Q38" i="9"/>
  <c r="M38" i="9"/>
  <c r="N38" i="9" s="1"/>
  <c r="L38" i="9"/>
  <c r="K38" i="9"/>
  <c r="I38" i="9"/>
  <c r="J38" i="9" s="1"/>
  <c r="H38" i="9"/>
  <c r="G38" i="9"/>
  <c r="C38" i="9"/>
  <c r="D38" i="9" s="1"/>
  <c r="O38" i="9" s="1"/>
  <c r="Q34" i="9"/>
  <c r="M34" i="9"/>
  <c r="N34" i="9" s="1"/>
  <c r="L34" i="9"/>
  <c r="K34" i="9"/>
  <c r="I34" i="9"/>
  <c r="H34" i="9"/>
  <c r="G34" i="9"/>
  <c r="D34" i="9"/>
  <c r="O34" i="9" s="1"/>
  <c r="C34" i="9"/>
  <c r="Q33" i="9"/>
  <c r="O33" i="9"/>
  <c r="M33" i="9"/>
  <c r="N33" i="9" s="1"/>
  <c r="K33" i="9"/>
  <c r="L33" i="9" s="1"/>
  <c r="J33" i="9"/>
  <c r="I33" i="9"/>
  <c r="G33" i="9"/>
  <c r="H33" i="9" s="1"/>
  <c r="C33" i="9"/>
  <c r="D33" i="9" s="1"/>
  <c r="Q32" i="9"/>
  <c r="O32" i="9"/>
  <c r="N32" i="9"/>
  <c r="M32" i="9"/>
  <c r="K32" i="9"/>
  <c r="L32" i="9" s="1"/>
  <c r="I32" i="9"/>
  <c r="J32" i="9" s="1"/>
  <c r="H32" i="9"/>
  <c r="G32" i="9"/>
  <c r="D32" i="9"/>
  <c r="C32" i="9"/>
  <c r="Q27" i="9"/>
  <c r="O27" i="9"/>
  <c r="M27" i="9"/>
  <c r="N27" i="9" s="1"/>
  <c r="K27" i="9"/>
  <c r="L27" i="9" s="1"/>
  <c r="J27" i="9"/>
  <c r="I27" i="9"/>
  <c r="G27" i="9"/>
  <c r="H27" i="9" s="1"/>
  <c r="C27" i="9"/>
  <c r="D27" i="9" s="1"/>
  <c r="Q26" i="9"/>
  <c r="O26" i="9"/>
  <c r="N26" i="9"/>
  <c r="M26" i="9"/>
  <c r="K26" i="9"/>
  <c r="L26" i="9" s="1"/>
  <c r="I26" i="9"/>
  <c r="J26" i="9" s="1"/>
  <c r="G26" i="9"/>
  <c r="H26" i="9" s="1"/>
  <c r="D26" i="9"/>
  <c r="C26" i="9"/>
  <c r="Q25" i="9"/>
  <c r="O25" i="9"/>
  <c r="M25" i="9"/>
  <c r="N25" i="9" s="1"/>
  <c r="L25" i="9"/>
  <c r="K25" i="9"/>
  <c r="J25" i="9"/>
  <c r="I25" i="9"/>
  <c r="G25" i="9"/>
  <c r="H25" i="9" s="1"/>
  <c r="C25" i="9"/>
  <c r="D25" i="9" s="1"/>
  <c r="Q20" i="9"/>
  <c r="P20" i="9"/>
  <c r="N20" i="9"/>
  <c r="M20" i="9"/>
  <c r="K20" i="9"/>
  <c r="L20" i="9" s="1"/>
  <c r="I20" i="9"/>
  <c r="J20" i="9" s="1"/>
  <c r="G20" i="9"/>
  <c r="H20" i="9" s="1"/>
  <c r="D20" i="9"/>
  <c r="C20" i="9"/>
  <c r="Q19" i="9"/>
  <c r="P19" i="9"/>
  <c r="M19" i="9"/>
  <c r="N19" i="9" s="1"/>
  <c r="L19" i="9"/>
  <c r="K19" i="9"/>
  <c r="J19" i="9"/>
  <c r="I19" i="9"/>
  <c r="G19" i="9"/>
  <c r="H19" i="9" s="1"/>
  <c r="C19" i="9"/>
  <c r="D19" i="9" s="1"/>
  <c r="Q18" i="9"/>
  <c r="P18" i="9"/>
  <c r="M18" i="9"/>
  <c r="N18" i="9" s="1"/>
  <c r="K18" i="9"/>
  <c r="L18" i="9" s="1"/>
  <c r="I18" i="9"/>
  <c r="J18" i="9" s="1"/>
  <c r="H18" i="9"/>
  <c r="G18" i="9"/>
  <c r="C18" i="9"/>
  <c r="D18" i="9" s="1"/>
  <c r="R13" i="9"/>
  <c r="Q13" i="9"/>
  <c r="N13" i="9"/>
  <c r="M13" i="9"/>
  <c r="L13" i="9"/>
  <c r="K13" i="9"/>
  <c r="J13" i="9"/>
  <c r="G13" i="9"/>
  <c r="H13" i="9" s="1"/>
  <c r="C13" i="9"/>
  <c r="D13" i="9" s="1"/>
  <c r="O13" i="9" s="1"/>
  <c r="R12" i="9"/>
  <c r="Q12" i="9"/>
  <c r="N12" i="9"/>
  <c r="M12" i="9"/>
  <c r="L12" i="9"/>
  <c r="K12" i="9"/>
  <c r="J12" i="9"/>
  <c r="G12" i="9"/>
  <c r="H12" i="9" s="1"/>
  <c r="C12" i="9"/>
  <c r="D12" i="9" s="1"/>
  <c r="O12" i="9" s="1"/>
  <c r="R11" i="9"/>
  <c r="Q11" i="9"/>
  <c r="N11" i="9"/>
  <c r="M11" i="9"/>
  <c r="L11" i="9"/>
  <c r="K11" i="9"/>
  <c r="J11" i="9"/>
  <c r="G11" i="9"/>
  <c r="H11" i="9" s="1"/>
  <c r="C11" i="9"/>
  <c r="D11" i="9" s="1"/>
  <c r="O11" i="9" s="1"/>
  <c r="R6" i="9"/>
  <c r="Q6" i="9"/>
  <c r="N6" i="9"/>
  <c r="M6" i="9"/>
  <c r="L6" i="9"/>
  <c r="K6" i="9"/>
  <c r="J6" i="9"/>
  <c r="I6" i="9"/>
  <c r="H6" i="9"/>
  <c r="G6" i="9"/>
  <c r="C6" i="9"/>
  <c r="D6" i="9" s="1"/>
  <c r="O6" i="9" s="1"/>
  <c r="R5" i="9"/>
  <c r="Q5" i="9"/>
  <c r="M5" i="9"/>
  <c r="N5" i="9" s="1"/>
  <c r="K5" i="9"/>
  <c r="L5" i="9" s="1"/>
  <c r="I5" i="9"/>
  <c r="J5" i="9" s="1"/>
  <c r="G5" i="9"/>
  <c r="H5" i="9" s="1"/>
  <c r="D5" i="9"/>
  <c r="O5" i="9" s="1"/>
  <c r="C5" i="9"/>
  <c r="R4" i="9"/>
  <c r="Q4" i="9"/>
  <c r="N4" i="9"/>
  <c r="M4" i="9"/>
  <c r="L4" i="9"/>
  <c r="K4" i="9"/>
  <c r="J4" i="9"/>
  <c r="I4" i="9"/>
  <c r="H4" i="9"/>
  <c r="G4" i="9"/>
  <c r="D4" i="9"/>
  <c r="O4" i="9" s="1"/>
  <c r="C4" i="9"/>
  <c r="E31" i="8"/>
  <c r="D31" i="8"/>
  <c r="E26" i="8"/>
  <c r="C26" i="8"/>
  <c r="D26" i="8" s="1"/>
  <c r="F24" i="8"/>
  <c r="C24" i="8"/>
  <c r="C4" i="8"/>
  <c r="B51" i="5"/>
  <c r="B50" i="5"/>
  <c r="F45" i="5"/>
  <c r="C45" i="5"/>
  <c r="B45" i="5"/>
  <c r="H40" i="5"/>
  <c r="J40" i="5" s="1"/>
  <c r="F40" i="5"/>
  <c r="B40" i="5"/>
  <c r="F34" i="5"/>
  <c r="B23" i="5"/>
  <c r="G22" i="5"/>
  <c r="F22" i="5"/>
  <c r="F50" i="5" s="1"/>
  <c r="B22" i="5"/>
  <c r="B19" i="2" s="1"/>
  <c r="F17" i="5"/>
  <c r="C17" i="5"/>
  <c r="C45" i="2" s="1"/>
  <c r="B17" i="5"/>
  <c r="I13" i="5"/>
  <c r="H13" i="5"/>
  <c r="H41" i="5" s="1"/>
  <c r="G13" i="5"/>
  <c r="G41" i="5" s="1"/>
  <c r="F12" i="5"/>
  <c r="G12" i="5" s="1"/>
  <c r="G40" i="5" s="1"/>
  <c r="B12" i="5"/>
  <c r="G6" i="5"/>
  <c r="G34" i="5" s="1"/>
  <c r="F75" i="4"/>
  <c r="E75" i="4"/>
  <c r="D75" i="4"/>
  <c r="D66" i="4"/>
  <c r="D64" i="4"/>
  <c r="L57" i="4"/>
  <c r="K57" i="4"/>
  <c r="J57" i="4"/>
  <c r="I57" i="4"/>
  <c r="H57" i="4"/>
  <c r="G57" i="4"/>
  <c r="F57" i="4"/>
  <c r="E57" i="4"/>
  <c r="I49" i="4"/>
  <c r="I56" i="4" s="1"/>
  <c r="K41" i="4"/>
  <c r="K48" i="4" s="1"/>
  <c r="K55" i="4" s="1"/>
  <c r="F32" i="4"/>
  <c r="H32" i="4" s="1"/>
  <c r="D32" i="4"/>
  <c r="H31" i="4"/>
  <c r="F31" i="4"/>
  <c r="E31" i="4"/>
  <c r="I31" i="4" s="1"/>
  <c r="D31" i="4"/>
  <c r="F30" i="4"/>
  <c r="E30" i="4"/>
  <c r="D30" i="4"/>
  <c r="I29" i="4"/>
  <c r="H29" i="4"/>
  <c r="G29" i="4"/>
  <c r="F29" i="4"/>
  <c r="E29" i="4"/>
  <c r="D29" i="4"/>
  <c r="I28" i="4"/>
  <c r="H28" i="4"/>
  <c r="F28" i="4"/>
  <c r="E28" i="4"/>
  <c r="D28" i="4"/>
  <c r="E24" i="4"/>
  <c r="D23" i="4"/>
  <c r="D24" i="4" s="1"/>
  <c r="E22" i="4"/>
  <c r="D22" i="4"/>
  <c r="E21" i="4"/>
  <c r="D21" i="4"/>
  <c r="D20" i="4"/>
  <c r="I19" i="4"/>
  <c r="I18" i="4"/>
  <c r="J14" i="4"/>
  <c r="I14" i="4"/>
  <c r="H14" i="4"/>
  <c r="E14" i="4"/>
  <c r="J13" i="4"/>
  <c r="I13" i="4"/>
  <c r="H13" i="4"/>
  <c r="L13" i="4" s="1"/>
  <c r="K12" i="4"/>
  <c r="J12" i="4"/>
  <c r="D12" i="4"/>
  <c r="K11" i="4"/>
  <c r="D11" i="4"/>
  <c r="K8" i="4"/>
  <c r="G20" i="2" s="1"/>
  <c r="K7" i="4"/>
  <c r="J7" i="4"/>
  <c r="I7" i="4"/>
  <c r="H7" i="4"/>
  <c r="F7" i="4"/>
  <c r="E7" i="4"/>
  <c r="D7" i="4"/>
  <c r="K6" i="4"/>
  <c r="K13" i="4" s="1"/>
  <c r="J6" i="4"/>
  <c r="I6" i="4"/>
  <c r="H6" i="4"/>
  <c r="F6" i="4"/>
  <c r="F13" i="4" s="1"/>
  <c r="E6" i="4"/>
  <c r="D6" i="4"/>
  <c r="K5" i="4"/>
  <c r="J5" i="4"/>
  <c r="I5" i="4"/>
  <c r="H5" i="4"/>
  <c r="F5" i="4"/>
  <c r="E5" i="4"/>
  <c r="D5" i="4"/>
  <c r="K4" i="4"/>
  <c r="J4" i="4"/>
  <c r="I4" i="4"/>
  <c r="H4" i="4"/>
  <c r="H11" i="4" s="1"/>
  <c r="F4" i="4"/>
  <c r="E4" i="4"/>
  <c r="E8" i="4" s="1"/>
  <c r="D4" i="4"/>
  <c r="E58" i="3"/>
  <c r="G58" i="3" s="1"/>
  <c r="D58" i="3"/>
  <c r="H58" i="3" s="1"/>
  <c r="C58" i="3"/>
  <c r="G57" i="3"/>
  <c r="E57" i="3"/>
  <c r="D57" i="3"/>
  <c r="C57" i="3"/>
  <c r="F56" i="3"/>
  <c r="E56" i="3"/>
  <c r="D56" i="3"/>
  <c r="C56" i="3"/>
  <c r="F55" i="3"/>
  <c r="E55" i="3"/>
  <c r="H55" i="3" s="1"/>
  <c r="D55" i="3"/>
  <c r="C55" i="3"/>
  <c r="F54" i="3"/>
  <c r="E54" i="3"/>
  <c r="G54" i="3" s="1"/>
  <c r="D54" i="3"/>
  <c r="C54" i="3"/>
  <c r="G53" i="3"/>
  <c r="E53" i="3"/>
  <c r="D53" i="3"/>
  <c r="C53" i="3"/>
  <c r="H52" i="3"/>
  <c r="G52" i="3"/>
  <c r="F52" i="3"/>
  <c r="E52" i="3"/>
  <c r="D52" i="3"/>
  <c r="C52" i="3"/>
  <c r="F51" i="3"/>
  <c r="E51" i="3"/>
  <c r="H51" i="3" s="1"/>
  <c r="D51" i="3"/>
  <c r="C51" i="3"/>
  <c r="E50" i="3"/>
  <c r="G50" i="3" s="1"/>
  <c r="D50" i="3"/>
  <c r="H50" i="3" s="1"/>
  <c r="C50" i="3"/>
  <c r="G49" i="3"/>
  <c r="E49" i="3"/>
  <c r="D49" i="3"/>
  <c r="C49" i="3"/>
  <c r="F48" i="3"/>
  <c r="E48" i="3"/>
  <c r="D48" i="3"/>
  <c r="C48" i="3"/>
  <c r="C43" i="3"/>
  <c r="C42" i="3"/>
  <c r="C41" i="3"/>
  <c r="C40" i="3"/>
  <c r="C39" i="3"/>
  <c r="C38" i="3"/>
  <c r="C37" i="3"/>
  <c r="C36" i="3"/>
  <c r="C35" i="3"/>
  <c r="C34" i="3"/>
  <c r="C44" i="3" s="1"/>
  <c r="C33" i="3"/>
  <c r="F32" i="3"/>
  <c r="F31" i="3"/>
  <c r="I27" i="3"/>
  <c r="D27" i="3"/>
  <c r="C27" i="3"/>
  <c r="G26" i="3"/>
  <c r="E25" i="3"/>
  <c r="D25" i="3"/>
  <c r="I24" i="3"/>
  <c r="G24" i="3"/>
  <c r="J23" i="3"/>
  <c r="I23" i="3"/>
  <c r="H23" i="3"/>
  <c r="J22" i="3"/>
  <c r="I22" i="3"/>
  <c r="H22" i="3"/>
  <c r="K22" i="3" s="1"/>
  <c r="G22" i="3"/>
  <c r="D21" i="3"/>
  <c r="C21" i="3"/>
  <c r="F21" i="3" s="1"/>
  <c r="J20" i="3"/>
  <c r="C20" i="3"/>
  <c r="F20" i="3" s="1"/>
  <c r="I19" i="3"/>
  <c r="K19" i="3" s="1"/>
  <c r="J18" i="3"/>
  <c r="G18" i="3"/>
  <c r="E17" i="3"/>
  <c r="D17" i="3"/>
  <c r="O13" i="3"/>
  <c r="J13" i="3"/>
  <c r="J27" i="3" s="1"/>
  <c r="I13" i="3"/>
  <c r="H13" i="3"/>
  <c r="H27" i="3" s="1"/>
  <c r="G13" i="3"/>
  <c r="E13" i="3"/>
  <c r="E27" i="3" s="1"/>
  <c r="D13" i="3"/>
  <c r="C13" i="3"/>
  <c r="O12" i="3"/>
  <c r="J12" i="3"/>
  <c r="J26" i="3" s="1"/>
  <c r="I12" i="3"/>
  <c r="I26" i="3" s="1"/>
  <c r="H12" i="3"/>
  <c r="H26" i="3" s="1"/>
  <c r="G12" i="3"/>
  <c r="E12" i="3"/>
  <c r="E26" i="3" s="1"/>
  <c r="D12" i="3"/>
  <c r="D26" i="3" s="1"/>
  <c r="C12" i="3"/>
  <c r="O11" i="3"/>
  <c r="J11" i="3"/>
  <c r="J25" i="3" s="1"/>
  <c r="I11" i="3"/>
  <c r="I25" i="3" s="1"/>
  <c r="H11" i="3"/>
  <c r="H25" i="3" s="1"/>
  <c r="G11" i="3"/>
  <c r="F11" i="3"/>
  <c r="E11" i="3"/>
  <c r="D11" i="3"/>
  <c r="C11" i="3"/>
  <c r="C25" i="3" s="1"/>
  <c r="F25" i="3" s="1"/>
  <c r="O10" i="3"/>
  <c r="J10" i="3"/>
  <c r="J24" i="3" s="1"/>
  <c r="I10" i="3"/>
  <c r="H10" i="3"/>
  <c r="H24" i="3" s="1"/>
  <c r="G10" i="3"/>
  <c r="E10" i="3"/>
  <c r="E24" i="3" s="1"/>
  <c r="F23" i="5" s="1"/>
  <c r="G23" i="5" s="1"/>
  <c r="G51" i="5" s="1"/>
  <c r="D10" i="3"/>
  <c r="F10" i="3" s="1"/>
  <c r="C10" i="3"/>
  <c r="C24" i="3" s="1"/>
  <c r="O9" i="3"/>
  <c r="J9" i="3"/>
  <c r="I9" i="3"/>
  <c r="H9" i="3"/>
  <c r="G9" i="3"/>
  <c r="E9" i="3"/>
  <c r="E23" i="3" s="1"/>
  <c r="D9" i="3"/>
  <c r="D23" i="3" s="1"/>
  <c r="C9" i="3"/>
  <c r="C23" i="3" s="1"/>
  <c r="O8" i="3"/>
  <c r="J8" i="3"/>
  <c r="H22" i="5" s="1"/>
  <c r="I8" i="3"/>
  <c r="H17" i="5" s="1"/>
  <c r="H8" i="3"/>
  <c r="H12" i="5" s="1"/>
  <c r="I12" i="5" s="1"/>
  <c r="I40" i="5" s="1"/>
  <c r="G8" i="3"/>
  <c r="E8" i="3"/>
  <c r="H7" i="5" s="1"/>
  <c r="D8" i="3"/>
  <c r="C8" i="3"/>
  <c r="O7" i="3"/>
  <c r="J7" i="3"/>
  <c r="J21" i="3" s="1"/>
  <c r="I7" i="3"/>
  <c r="I21" i="3" s="1"/>
  <c r="H7" i="3"/>
  <c r="H21" i="3" s="1"/>
  <c r="G7" i="3"/>
  <c r="K7" i="3" s="1"/>
  <c r="E7" i="3"/>
  <c r="E21" i="3" s="1"/>
  <c r="D7" i="3"/>
  <c r="C7" i="3"/>
  <c r="F7" i="3" s="1"/>
  <c r="O6" i="3"/>
  <c r="J6" i="3"/>
  <c r="I6" i="3"/>
  <c r="I20" i="3" s="1"/>
  <c r="H6" i="3"/>
  <c r="H20" i="3" s="1"/>
  <c r="K30" i="3" s="1"/>
  <c r="G6" i="3"/>
  <c r="E6" i="3"/>
  <c r="E20" i="3" s="1"/>
  <c r="D6" i="3"/>
  <c r="D20" i="3" s="1"/>
  <c r="C6" i="3"/>
  <c r="O5" i="3"/>
  <c r="J5" i="3"/>
  <c r="J19" i="3" s="1"/>
  <c r="I5" i="3"/>
  <c r="H5" i="3"/>
  <c r="H19" i="3" s="1"/>
  <c r="G5" i="3"/>
  <c r="G19" i="3" s="1"/>
  <c r="E5" i="3"/>
  <c r="E19" i="3" s="1"/>
  <c r="D5" i="3"/>
  <c r="D19" i="3" s="1"/>
  <c r="C5" i="3"/>
  <c r="O4" i="3"/>
  <c r="J4" i="3"/>
  <c r="I4" i="3"/>
  <c r="I18" i="3" s="1"/>
  <c r="H4" i="3"/>
  <c r="G4" i="3"/>
  <c r="E4" i="3"/>
  <c r="D4" i="3"/>
  <c r="D18" i="3" s="1"/>
  <c r="C4" i="3"/>
  <c r="O3" i="3"/>
  <c r="K3" i="3"/>
  <c r="J3" i="3"/>
  <c r="I3" i="3"/>
  <c r="H3" i="3"/>
  <c r="G3" i="3"/>
  <c r="E3" i="3"/>
  <c r="D3" i="3"/>
  <c r="C3" i="3"/>
  <c r="I49" i="2"/>
  <c r="D48" i="2"/>
  <c r="D47" i="2"/>
  <c r="B47" i="2"/>
  <c r="D46" i="2"/>
  <c r="B46" i="2"/>
  <c r="B45" i="2"/>
  <c r="D38" i="2"/>
  <c r="B38" i="2"/>
  <c r="I22" i="2"/>
  <c r="G21" i="2"/>
  <c r="D21" i="2"/>
  <c r="D20" i="2"/>
  <c r="B20" i="2"/>
  <c r="E19" i="2"/>
  <c r="E46" i="2" s="1"/>
  <c r="D19" i="2"/>
  <c r="F19" i="2" s="1"/>
  <c r="F46" i="2" s="1"/>
  <c r="E18" i="2"/>
  <c r="E45" i="2" s="1"/>
  <c r="C18" i="2"/>
  <c r="B18" i="2"/>
  <c r="G11" i="2"/>
  <c r="G13" i="2" s="1"/>
  <c r="G40" i="2" s="1"/>
  <c r="E11" i="2"/>
  <c r="E38" i="2" s="1"/>
  <c r="D11" i="2"/>
  <c r="B11" i="2"/>
  <c r="C6" i="2"/>
  <c r="C5" i="2"/>
  <c r="C4" i="2"/>
  <c r="C3" i="2"/>
  <c r="C2" i="2"/>
  <c r="H35" i="5" l="1"/>
  <c r="G47" i="2"/>
  <c r="I41" i="5"/>
  <c r="J41" i="5" s="1"/>
  <c r="J13" i="5"/>
  <c r="F5" i="3"/>
  <c r="C19" i="3"/>
  <c r="F19" i="3" s="1"/>
  <c r="G27" i="3"/>
  <c r="K27" i="3" s="1"/>
  <c r="K13" i="3"/>
  <c r="G51" i="3"/>
  <c r="D71" i="4"/>
  <c r="D34" i="4"/>
  <c r="C36" i="4" s="1"/>
  <c r="C38" i="4" s="1"/>
  <c r="F93" i="17"/>
  <c r="H93" i="17" s="1"/>
  <c r="I93" i="17" s="1"/>
  <c r="G14" i="3"/>
  <c r="I22" i="5"/>
  <c r="H50" i="5"/>
  <c r="C26" i="3"/>
  <c r="F26" i="3" s="1"/>
  <c r="F12" i="3"/>
  <c r="L12" i="3" s="1"/>
  <c r="M12" i="3" s="1"/>
  <c r="N12" i="3" s="1"/>
  <c r="P12" i="3" s="1"/>
  <c r="L6" i="4"/>
  <c r="H48" i="4"/>
  <c r="G61" i="4"/>
  <c r="I47" i="4"/>
  <c r="I54" i="4" s="1"/>
  <c r="D72" i="4"/>
  <c r="E22" i="3"/>
  <c r="F7" i="5"/>
  <c r="J8" i="4"/>
  <c r="G19" i="2" s="1"/>
  <c r="J11" i="4"/>
  <c r="J15" i="4" s="1"/>
  <c r="J46" i="4"/>
  <c r="G60" i="4"/>
  <c r="D46" i="4"/>
  <c r="E14" i="3"/>
  <c r="G23" i="3"/>
  <c r="K23" i="3" s="1"/>
  <c r="K9" i="3"/>
  <c r="H14" i="3"/>
  <c r="E18" i="3"/>
  <c r="E28" i="3" s="1"/>
  <c r="I17" i="3"/>
  <c r="I28" i="3" s="1"/>
  <c r="I14" i="3"/>
  <c r="H18" i="3"/>
  <c r="K18" i="3" s="1"/>
  <c r="K4" i="3"/>
  <c r="K26" i="3"/>
  <c r="E60" i="3"/>
  <c r="H48" i="3"/>
  <c r="G48" i="3"/>
  <c r="J49" i="4"/>
  <c r="J56" i="4" s="1"/>
  <c r="L7" i="4"/>
  <c r="J48" i="4"/>
  <c r="J55" i="4" s="1"/>
  <c r="K5" i="3"/>
  <c r="D47" i="4"/>
  <c r="H30" i="4"/>
  <c r="F72" i="4"/>
  <c r="H72" i="4" s="1"/>
  <c r="F34" i="4"/>
  <c r="H18" i="5"/>
  <c r="K12" i="3"/>
  <c r="H45" i="5"/>
  <c r="F11" i="2"/>
  <c r="J17" i="3"/>
  <c r="J28" i="3" s="1"/>
  <c r="J14" i="3"/>
  <c r="F6" i="3"/>
  <c r="L7" i="3"/>
  <c r="M7" i="3" s="1"/>
  <c r="N7" i="3" s="1"/>
  <c r="P7" i="3" s="1"/>
  <c r="F8" i="3"/>
  <c r="C22" i="3"/>
  <c r="F22" i="3" s="1"/>
  <c r="K11" i="3"/>
  <c r="L11" i="3" s="1"/>
  <c r="M11" i="3" s="1"/>
  <c r="N11" i="3" s="1"/>
  <c r="P11" i="3" s="1"/>
  <c r="G25" i="3"/>
  <c r="K25" i="3" s="1"/>
  <c r="G21" i="3"/>
  <c r="K21" i="3" s="1"/>
  <c r="D24" i="3"/>
  <c r="F5" i="5" s="1"/>
  <c r="H15" i="4"/>
  <c r="I12" i="4"/>
  <c r="L5" i="4"/>
  <c r="C14" i="3"/>
  <c r="D29" i="3" s="1"/>
  <c r="F3" i="3"/>
  <c r="F13" i="3"/>
  <c r="C17" i="3"/>
  <c r="G30" i="4"/>
  <c r="E72" i="4"/>
  <c r="E34" i="4"/>
  <c r="F36" i="4" s="1"/>
  <c r="I30" i="4"/>
  <c r="I34" i="4" s="1"/>
  <c r="D62" i="4"/>
  <c r="D63" i="4"/>
  <c r="I48" i="4"/>
  <c r="I55" i="4" s="1"/>
  <c r="D70" i="4"/>
  <c r="H46" i="4"/>
  <c r="E49" i="4"/>
  <c r="E56" i="4" s="1"/>
  <c r="E46" i="4"/>
  <c r="K46" i="4"/>
  <c r="K47" i="4"/>
  <c r="K54" i="4" s="1"/>
  <c r="J47" i="4"/>
  <c r="J54" i="4" s="1"/>
  <c r="H49" i="4"/>
  <c r="D65" i="4"/>
  <c r="D22" i="3"/>
  <c r="D28" i="3" s="1"/>
  <c r="H5" i="5"/>
  <c r="F27" i="3"/>
  <c r="C60" i="3"/>
  <c r="H56" i="3"/>
  <c r="G56" i="3"/>
  <c r="I46" i="4"/>
  <c r="I11" i="4"/>
  <c r="I8" i="4"/>
  <c r="F49" i="17"/>
  <c r="H49" i="17" s="1"/>
  <c r="I49" i="17" s="1"/>
  <c r="F22" i="17"/>
  <c r="H22" i="17" s="1"/>
  <c r="I22" i="17" s="1"/>
  <c r="F4" i="17"/>
  <c r="H4" i="17" s="1"/>
  <c r="I4" i="17" s="1"/>
  <c r="D14" i="3"/>
  <c r="F129" i="17"/>
  <c r="H129" i="17" s="1"/>
  <c r="I129" i="17" s="1"/>
  <c r="H11" i="2"/>
  <c r="F23" i="3"/>
  <c r="G17" i="3"/>
  <c r="K24" i="3"/>
  <c r="E47" i="4"/>
  <c r="E54" i="4" s="1"/>
  <c r="D48" i="4"/>
  <c r="D49" i="4"/>
  <c r="D14" i="4"/>
  <c r="E11" i="4"/>
  <c r="E70" i="4"/>
  <c r="F51" i="5"/>
  <c r="F40" i="17"/>
  <c r="H40" i="17" s="1"/>
  <c r="I40" i="17" s="1"/>
  <c r="F44" i="17"/>
  <c r="H44" i="17" s="1"/>
  <c r="I44" i="17" s="1"/>
  <c r="F80" i="17"/>
  <c r="H80" i="17" s="1"/>
  <c r="I80" i="17" s="1"/>
  <c r="F103" i="17"/>
  <c r="H103" i="17" s="1"/>
  <c r="I103" i="17" s="1"/>
  <c r="F159" i="17"/>
  <c r="H159" i="17" s="1"/>
  <c r="I159" i="17" s="1"/>
  <c r="G20" i="3"/>
  <c r="K20" i="3" s="1"/>
  <c r="K6" i="3"/>
  <c r="H53" i="3"/>
  <c r="F53" i="3"/>
  <c r="G11" i="4"/>
  <c r="G50" i="5"/>
  <c r="C19" i="11"/>
  <c r="K10" i="3"/>
  <c r="L10" i="3" s="1"/>
  <c r="M10" i="3" s="1"/>
  <c r="N10" i="3" s="1"/>
  <c r="P10" i="3" s="1"/>
  <c r="H17" i="3"/>
  <c r="H28" i="3" s="1"/>
  <c r="F50" i="3"/>
  <c r="F58" i="3"/>
  <c r="F46" i="4"/>
  <c r="F47" i="4"/>
  <c r="F54" i="4" s="1"/>
  <c r="F12" i="4"/>
  <c r="E48" i="4"/>
  <c r="E55" i="4" s="1"/>
  <c r="E13" i="4"/>
  <c r="D8" i="4"/>
  <c r="F73" i="4"/>
  <c r="F48" i="4"/>
  <c r="F55" i="4" s="1"/>
  <c r="H23" i="12"/>
  <c r="F12" i="17"/>
  <c r="H12" i="17" s="1"/>
  <c r="I12" i="17" s="1"/>
  <c r="F123" i="17"/>
  <c r="H123" i="17" s="1"/>
  <c r="I123" i="17" s="1"/>
  <c r="F16" i="17"/>
  <c r="H16" i="17" s="1"/>
  <c r="I16" i="17" s="1"/>
  <c r="G38" i="2"/>
  <c r="C18" i="3"/>
  <c r="F18" i="3" s="1"/>
  <c r="F4" i="3"/>
  <c r="L4" i="3" s="1"/>
  <c r="M4" i="3" s="1"/>
  <c r="N4" i="3" s="1"/>
  <c r="P4" i="3" s="1"/>
  <c r="G55" i="3"/>
  <c r="G4" i="4"/>
  <c r="G8" i="4" s="1"/>
  <c r="G5" i="4"/>
  <c r="F49" i="4"/>
  <c r="F56" i="4" s="1"/>
  <c r="F14" i="4"/>
  <c r="G28" i="4"/>
  <c r="G34" i="4" s="1"/>
  <c r="G31" i="4"/>
  <c r="C77" i="4"/>
  <c r="C79" i="4" s="1"/>
  <c r="J12" i="5"/>
  <c r="F35" i="17"/>
  <c r="H35" i="17" s="1"/>
  <c r="I35" i="17" s="1"/>
  <c r="F65" i="17"/>
  <c r="H65" i="17" s="1"/>
  <c r="I65" i="17" s="1"/>
  <c r="E71" i="4"/>
  <c r="K49" i="4"/>
  <c r="K56" i="4" s="1"/>
  <c r="F71" i="4"/>
  <c r="H71" i="4" s="1"/>
  <c r="F131" i="17"/>
  <c r="H131" i="17" s="1"/>
  <c r="I131" i="17" s="1"/>
  <c r="F130" i="17"/>
  <c r="H130" i="17" s="1"/>
  <c r="I130" i="17" s="1"/>
  <c r="F128" i="17"/>
  <c r="H128" i="17" s="1"/>
  <c r="I128" i="17" s="1"/>
  <c r="F124" i="17"/>
  <c r="H124" i="17" s="1"/>
  <c r="I124" i="17" s="1"/>
  <c r="F121" i="17"/>
  <c r="H121" i="17" s="1"/>
  <c r="I121" i="17" s="1"/>
  <c r="F111" i="17"/>
  <c r="H111" i="17" s="1"/>
  <c r="I111" i="17" s="1"/>
  <c r="F109" i="17"/>
  <c r="H109" i="17" s="1"/>
  <c r="I109" i="17" s="1"/>
  <c r="F104" i="17"/>
  <c r="H104" i="17" s="1"/>
  <c r="I104" i="17" s="1"/>
  <c r="F102" i="17"/>
  <c r="H102" i="17" s="1"/>
  <c r="I102" i="17" s="1"/>
  <c r="F100" i="17"/>
  <c r="H100" i="17" s="1"/>
  <c r="I100" i="17" s="1"/>
  <c r="F98" i="17"/>
  <c r="H98" i="17" s="1"/>
  <c r="I98" i="17" s="1"/>
  <c r="F94" i="17"/>
  <c r="H94" i="17" s="1"/>
  <c r="I94" i="17" s="1"/>
  <c r="F92" i="17"/>
  <c r="H92" i="17" s="1"/>
  <c r="I92" i="17" s="1"/>
  <c r="F89" i="17"/>
  <c r="H89" i="17" s="1"/>
  <c r="I89" i="17" s="1"/>
  <c r="F87" i="17"/>
  <c r="H87" i="17" s="1"/>
  <c r="I87" i="17" s="1"/>
  <c r="F81" i="17"/>
  <c r="H81" i="17" s="1"/>
  <c r="I81" i="17" s="1"/>
  <c r="F79" i="17"/>
  <c r="H79" i="17" s="1"/>
  <c r="I79" i="17" s="1"/>
  <c r="F71" i="17"/>
  <c r="H71" i="17" s="1"/>
  <c r="I71" i="17" s="1"/>
  <c r="F69" i="17"/>
  <c r="H69" i="17" s="1"/>
  <c r="I69" i="17" s="1"/>
  <c r="F64" i="17"/>
  <c r="H64" i="17" s="1"/>
  <c r="I64" i="17" s="1"/>
  <c r="F61" i="17"/>
  <c r="H61" i="17" s="1"/>
  <c r="I61" i="17" s="1"/>
  <c r="F59" i="17"/>
  <c r="H59" i="17" s="1"/>
  <c r="I59" i="17" s="1"/>
  <c r="F50" i="17"/>
  <c r="H50" i="17" s="1"/>
  <c r="I50" i="17" s="1"/>
  <c r="F48" i="17"/>
  <c r="H48" i="17" s="1"/>
  <c r="I48" i="17" s="1"/>
  <c r="F45" i="17"/>
  <c r="H45" i="17" s="1"/>
  <c r="I45" i="17" s="1"/>
  <c r="F39" i="17"/>
  <c r="H39" i="17" s="1"/>
  <c r="I39" i="17" s="1"/>
  <c r="F36" i="17"/>
  <c r="H36" i="17" s="1"/>
  <c r="I36" i="17" s="1"/>
  <c r="F32" i="17"/>
  <c r="H32" i="17" s="1"/>
  <c r="I32" i="17" s="1"/>
  <c r="F27" i="17"/>
  <c r="H27" i="17" s="1"/>
  <c r="I27" i="17" s="1"/>
  <c r="F25" i="17"/>
  <c r="H25" i="17" s="1"/>
  <c r="I25" i="17" s="1"/>
  <c r="F23" i="17"/>
  <c r="H23" i="17" s="1"/>
  <c r="I23" i="17" s="1"/>
  <c r="F19" i="17"/>
  <c r="H19" i="17" s="1"/>
  <c r="I19" i="17" s="1"/>
  <c r="F17" i="17"/>
  <c r="H17" i="17" s="1"/>
  <c r="I17" i="17" s="1"/>
  <c r="F15" i="17"/>
  <c r="H15" i="17" s="1"/>
  <c r="I15" i="17" s="1"/>
  <c r="F13" i="17"/>
  <c r="H13" i="17" s="1"/>
  <c r="I13" i="17" s="1"/>
  <c r="F11" i="17"/>
  <c r="H11" i="17" s="1"/>
  <c r="I11" i="17" s="1"/>
  <c r="F9" i="17"/>
  <c r="H9" i="17" s="1"/>
  <c r="I9" i="17" s="1"/>
  <c r="F7" i="17"/>
  <c r="H7" i="17" s="1"/>
  <c r="I7" i="17" s="1"/>
  <c r="F5" i="17"/>
  <c r="H5" i="17" s="1"/>
  <c r="I5" i="17" s="1"/>
  <c r="F179" i="17"/>
  <c r="H179" i="17" s="1"/>
  <c r="I179" i="17" s="1"/>
  <c r="F170" i="17"/>
  <c r="H170" i="17" s="1"/>
  <c r="I170" i="17" s="1"/>
  <c r="F168" i="17"/>
  <c r="H168" i="17" s="1"/>
  <c r="I168" i="17" s="1"/>
  <c r="F164" i="17"/>
  <c r="H164" i="17" s="1"/>
  <c r="I164" i="17" s="1"/>
  <c r="F160" i="17"/>
  <c r="H160" i="17" s="1"/>
  <c r="I160" i="17" s="1"/>
  <c r="F158" i="17"/>
  <c r="H158" i="17" s="1"/>
  <c r="I158" i="17" s="1"/>
  <c r="F101" i="17"/>
  <c r="H101" i="17" s="1"/>
  <c r="I101" i="17" s="1"/>
  <c r="F95" i="17"/>
  <c r="H95" i="17" s="1"/>
  <c r="I95" i="17" s="1"/>
  <c r="F90" i="17"/>
  <c r="H90" i="17" s="1"/>
  <c r="I90" i="17" s="1"/>
  <c r="F82" i="17"/>
  <c r="H82" i="17" s="1"/>
  <c r="I82" i="17" s="1"/>
  <c r="F75" i="17"/>
  <c r="H75" i="17" s="1"/>
  <c r="I75" i="17" s="1"/>
  <c r="F67" i="17"/>
  <c r="H67" i="17" s="1"/>
  <c r="I67" i="17" s="1"/>
  <c r="F62" i="17"/>
  <c r="H62" i="17" s="1"/>
  <c r="I62" i="17" s="1"/>
  <c r="F57" i="17"/>
  <c r="H57" i="17" s="1"/>
  <c r="I57" i="17" s="1"/>
  <c r="F47" i="17"/>
  <c r="H47" i="17" s="1"/>
  <c r="I47" i="17" s="1"/>
  <c r="F125" i="17"/>
  <c r="H125" i="17" s="1"/>
  <c r="I125" i="17" s="1"/>
  <c r="F120" i="17"/>
  <c r="H120" i="17" s="1"/>
  <c r="I120" i="17" s="1"/>
  <c r="F108" i="17"/>
  <c r="H108" i="17" s="1"/>
  <c r="I108" i="17" s="1"/>
  <c r="F38" i="17"/>
  <c r="H38" i="17" s="1"/>
  <c r="I38" i="17" s="1"/>
  <c r="F28" i="17"/>
  <c r="H28" i="17" s="1"/>
  <c r="I28" i="17" s="1"/>
  <c r="F24" i="17"/>
  <c r="H24" i="17" s="1"/>
  <c r="I24" i="17" s="1"/>
  <c r="F14" i="17"/>
  <c r="H14" i="17" s="1"/>
  <c r="I14" i="17" s="1"/>
  <c r="F10" i="17"/>
  <c r="H10" i="17" s="1"/>
  <c r="I10" i="17" s="1"/>
  <c r="F6" i="17"/>
  <c r="H6" i="17" s="1"/>
  <c r="I6" i="17" s="1"/>
  <c r="G48" i="2"/>
  <c r="E20" i="2"/>
  <c r="K8" i="3"/>
  <c r="H23" i="5" s="1"/>
  <c r="H25" i="5" s="1"/>
  <c r="H53" i="5" s="1"/>
  <c r="F9" i="3"/>
  <c r="L9" i="3" s="1"/>
  <c r="M9" i="3" s="1"/>
  <c r="N9" i="3" s="1"/>
  <c r="P9" i="3" s="1"/>
  <c r="H24" i="5"/>
  <c r="F24" i="5"/>
  <c r="D60" i="3"/>
  <c r="E62" i="3" s="1"/>
  <c r="H49" i="3"/>
  <c r="F49" i="3"/>
  <c r="H54" i="3"/>
  <c r="H57" i="3"/>
  <c r="F57" i="3"/>
  <c r="H8" i="4"/>
  <c r="L4" i="4"/>
  <c r="H47" i="4"/>
  <c r="H12" i="4"/>
  <c r="G6" i="4"/>
  <c r="G7" i="4"/>
  <c r="F8" i="4"/>
  <c r="H34" i="4"/>
  <c r="G59" i="4"/>
  <c r="F77" i="4"/>
  <c r="F110" i="17"/>
  <c r="H110" i="17" s="1"/>
  <c r="I110" i="17" s="1"/>
  <c r="F11" i="4"/>
  <c r="F15" i="4" s="1"/>
  <c r="E12" i="4"/>
  <c r="G12" i="4" s="1"/>
  <c r="D13" i="4"/>
  <c r="K14" i="4"/>
  <c r="K15" i="4" s="1"/>
  <c r="F163" i="17"/>
  <c r="H163" i="17" s="1"/>
  <c r="I163" i="17" s="1"/>
  <c r="F169" i="17"/>
  <c r="H169" i="17" s="1"/>
  <c r="I169" i="17" s="1"/>
  <c r="F157" i="17"/>
  <c r="H157" i="17" s="1"/>
  <c r="I157" i="17" s="1"/>
  <c r="F70" i="4"/>
  <c r="H70" i="4" s="1"/>
  <c r="F53" i="4" l="1"/>
  <c r="F50" i="4"/>
  <c r="H6" i="5"/>
  <c r="L8" i="3"/>
  <c r="M8" i="3" s="1"/>
  <c r="N8" i="3" s="1"/>
  <c r="P8" i="3" s="1"/>
  <c r="E16" i="4"/>
  <c r="G27" i="2"/>
  <c r="F17" i="8"/>
  <c r="I70" i="4"/>
  <c r="I75" i="4" s="1"/>
  <c r="G70" i="4"/>
  <c r="I15" i="4"/>
  <c r="L11" i="4"/>
  <c r="L15" i="4" s="1"/>
  <c r="L46" i="4"/>
  <c r="H50" i="4"/>
  <c r="H53" i="4"/>
  <c r="H46" i="5"/>
  <c r="L12" i="4"/>
  <c r="L14" i="4"/>
  <c r="E15" i="4"/>
  <c r="H38" i="2"/>
  <c r="I38" i="2" s="1"/>
  <c r="I11" i="2"/>
  <c r="I53" i="4"/>
  <c r="I50" i="4"/>
  <c r="J60" i="4" s="1"/>
  <c r="F17" i="3"/>
  <c r="C28" i="3"/>
  <c r="C17" i="8"/>
  <c r="C5" i="8" s="1"/>
  <c r="F33" i="5"/>
  <c r="G5" i="5"/>
  <c r="L6" i="3"/>
  <c r="M6" i="3" s="1"/>
  <c r="N6" i="3" s="1"/>
  <c r="P6" i="3" s="1"/>
  <c r="D53" i="4"/>
  <c r="G46" i="4"/>
  <c r="G50" i="4" s="1"/>
  <c r="D50" i="4"/>
  <c r="I50" i="5"/>
  <c r="J50" i="5" s="1"/>
  <c r="J22" i="5"/>
  <c r="H25" i="4"/>
  <c r="F27" i="8"/>
  <c r="L8" i="4"/>
  <c r="H52" i="5"/>
  <c r="G46" i="2"/>
  <c r="H19" i="2"/>
  <c r="F15" i="8"/>
  <c r="D15" i="8"/>
  <c r="E50" i="4"/>
  <c r="E53" i="4"/>
  <c r="I73" i="4"/>
  <c r="H73" i="4"/>
  <c r="H75" i="4" s="1"/>
  <c r="G28" i="3"/>
  <c r="K17" i="3"/>
  <c r="K28" i="3" s="1"/>
  <c r="B19" i="11"/>
  <c r="D19" i="11" s="1"/>
  <c r="E19" i="11" s="1"/>
  <c r="E17" i="5" s="1"/>
  <c r="G18" i="2"/>
  <c r="F23" i="8"/>
  <c r="L18" i="4"/>
  <c r="H54" i="4"/>
  <c r="L54" i="4" s="1"/>
  <c r="L47" i="4"/>
  <c r="I71" i="4"/>
  <c r="G71" i="4"/>
  <c r="G14" i="4"/>
  <c r="L49" i="4"/>
  <c r="H56" i="4"/>
  <c r="L56" i="4" s="1"/>
  <c r="L13" i="3"/>
  <c r="M13" i="3" s="1"/>
  <c r="N13" i="3" s="1"/>
  <c r="P13" i="3" s="1"/>
  <c r="G60" i="3"/>
  <c r="K50" i="4"/>
  <c r="K53" i="4"/>
  <c r="G13" i="4"/>
  <c r="G15" i="4" s="1"/>
  <c r="I17" i="4" s="1"/>
  <c r="D15" i="4"/>
  <c r="I23" i="5"/>
  <c r="H51" i="5"/>
  <c r="H33" i="5"/>
  <c r="I5" i="5"/>
  <c r="G7" i="5"/>
  <c r="F35" i="5"/>
  <c r="F20" i="2"/>
  <c r="E47" i="2"/>
  <c r="I72" i="4"/>
  <c r="G72" i="4"/>
  <c r="F52" i="5"/>
  <c r="E21" i="2"/>
  <c r="G24" i="5"/>
  <c r="D56" i="4"/>
  <c r="G56" i="4" s="1"/>
  <c r="G49" i="4"/>
  <c r="F24" i="3"/>
  <c r="J53" i="4"/>
  <c r="J50" i="4"/>
  <c r="H55" i="4"/>
  <c r="L55" i="4" s="1"/>
  <c r="L48" i="4"/>
  <c r="K14" i="3"/>
  <c r="G45" i="3"/>
  <c r="L5" i="3"/>
  <c r="M5" i="3" s="1"/>
  <c r="N5" i="3" s="1"/>
  <c r="P5" i="3" s="1"/>
  <c r="G48" i="4"/>
  <c r="D55" i="4"/>
  <c r="G55" i="4" s="1"/>
  <c r="B62" i="3"/>
  <c r="B64" i="3" s="1"/>
  <c r="L3" i="3"/>
  <c r="M3" i="3" s="1"/>
  <c r="N3" i="3" s="1"/>
  <c r="P3" i="3" s="1"/>
  <c r="F14" i="3"/>
  <c r="F13" i="2"/>
  <c r="F38" i="2"/>
  <c r="D54" i="4"/>
  <c r="G54" i="4" s="1"/>
  <c r="G47" i="4"/>
  <c r="I33" i="5" l="1"/>
  <c r="J33" i="5" s="1"/>
  <c r="J5" i="5"/>
  <c r="G53" i="4"/>
  <c r="D57" i="4"/>
  <c r="E17" i="8"/>
  <c r="E5" i="8" s="1"/>
  <c r="D17" i="8"/>
  <c r="D5" i="8" s="1"/>
  <c r="F5" i="8"/>
  <c r="E23" i="8"/>
  <c r="F28" i="8"/>
  <c r="E27" i="8"/>
  <c r="L53" i="4"/>
  <c r="G54" i="2"/>
  <c r="G29" i="2"/>
  <c r="I51" i="5"/>
  <c r="J51" i="5" s="1"/>
  <c r="J23" i="5"/>
  <c r="G23" i="2"/>
  <c r="G45" i="2"/>
  <c r="D4" i="8"/>
  <c r="G8" i="5"/>
  <c r="G33" i="5"/>
  <c r="H67" i="4"/>
  <c r="L50" i="4"/>
  <c r="E45" i="5"/>
  <c r="D45" i="2"/>
  <c r="G17" i="5"/>
  <c r="D18" i="2"/>
  <c r="F18" i="2" s="1"/>
  <c r="F40" i="2"/>
  <c r="H13" i="2"/>
  <c r="G52" i="5"/>
  <c r="G25" i="5"/>
  <c r="C25" i="8"/>
  <c r="F25" i="8" s="1"/>
  <c r="D25" i="8" s="1"/>
  <c r="G35" i="5"/>
  <c r="I7" i="5"/>
  <c r="F47" i="2"/>
  <c r="H20" i="2"/>
  <c r="F4" i="8"/>
  <c r="E15" i="8"/>
  <c r="F33" i="8"/>
  <c r="F9" i="8" s="1"/>
  <c r="I19" i="2"/>
  <c r="H46" i="2"/>
  <c r="I46" i="2" s="1"/>
  <c r="H34" i="5"/>
  <c r="I6" i="5"/>
  <c r="F21" i="2"/>
  <c r="E48" i="2"/>
  <c r="H8" i="5"/>
  <c r="I24" i="5"/>
  <c r="E58" i="4"/>
  <c r="F28" i="3"/>
  <c r="F30" i="3" s="1"/>
  <c r="G75" i="4"/>
  <c r="I20" i="2" l="1"/>
  <c r="H47" i="2"/>
  <c r="I47" i="2" s="1"/>
  <c r="G36" i="5"/>
  <c r="F27" i="2"/>
  <c r="J6" i="5"/>
  <c r="I34" i="5"/>
  <c r="J34" i="5" s="1"/>
  <c r="G56" i="2"/>
  <c r="I35" i="5"/>
  <c r="J35" i="5" s="1"/>
  <c r="J7" i="5"/>
  <c r="C27" i="8"/>
  <c r="D27" i="8" s="1"/>
  <c r="G53" i="5"/>
  <c r="G50" i="2"/>
  <c r="E33" i="8"/>
  <c r="E9" i="8" s="1"/>
  <c r="E4" i="8"/>
  <c r="I8" i="5"/>
  <c r="F48" i="2"/>
  <c r="H21" i="2"/>
  <c r="F45" i="2"/>
  <c r="F23" i="2"/>
  <c r="F50" i="2" s="1"/>
  <c r="G18" i="5"/>
  <c r="G45" i="5"/>
  <c r="I17" i="5"/>
  <c r="H18" i="2"/>
  <c r="I52" i="5"/>
  <c r="J52" i="5" s="1"/>
  <c r="J24" i="5"/>
  <c r="I25" i="5"/>
  <c r="H36" i="5"/>
  <c r="H27" i="5"/>
  <c r="H55" i="5" s="1"/>
  <c r="I13" i="2"/>
  <c r="H40" i="2"/>
  <c r="I40" i="2" s="1"/>
  <c r="F6" i="8"/>
  <c r="E28" i="8"/>
  <c r="E6" i="8" s="1"/>
  <c r="G46" i="5" l="1"/>
  <c r="C23" i="8"/>
  <c r="G27" i="5"/>
  <c r="G55" i="5" s="1"/>
  <c r="H23" i="2"/>
  <c r="H48" i="2"/>
  <c r="I48" i="2" s="1"/>
  <c r="I21" i="2"/>
  <c r="F54" i="2"/>
  <c r="F29" i="2"/>
  <c r="H27" i="2"/>
  <c r="I18" i="2"/>
  <c r="H45" i="2"/>
  <c r="I45" i="2" s="1"/>
  <c r="J8" i="5"/>
  <c r="I36" i="5"/>
  <c r="J36" i="5" s="1"/>
  <c r="J25" i="5"/>
  <c r="I53" i="5"/>
  <c r="J53" i="5" s="1"/>
  <c r="I18" i="5"/>
  <c r="I45" i="5"/>
  <c r="J45" i="5" s="1"/>
  <c r="J17" i="5"/>
  <c r="I46" i="5" l="1"/>
  <c r="J46" i="5" s="1"/>
  <c r="J18" i="5"/>
  <c r="I27" i="5"/>
  <c r="I23" i="2"/>
  <c r="H50" i="2"/>
  <c r="I50" i="2" s="1"/>
  <c r="F56" i="2"/>
  <c r="H29" i="2"/>
  <c r="C28" i="8"/>
  <c r="D23" i="8"/>
  <c r="H54" i="2"/>
  <c r="I54" i="2" s="1"/>
  <c r="I27" i="2"/>
  <c r="H56" i="2" l="1"/>
  <c r="I56" i="2" s="1"/>
  <c r="I29" i="2"/>
  <c r="C33" i="8"/>
  <c r="C9" i="8" s="1"/>
  <c r="C6" i="8"/>
  <c r="D28" i="8"/>
  <c r="J27" i="5"/>
  <c r="I55" i="5"/>
  <c r="J55" i="5" s="1"/>
  <c r="D6" i="8" l="1"/>
  <c r="D9" i="8" s="1"/>
  <c r="D33" i="8"/>
</calcChain>
</file>

<file path=xl/sharedStrings.xml><?xml version="1.0" encoding="utf-8"?>
<sst xmlns="http://schemas.openxmlformats.org/spreadsheetml/2006/main" count="3366" uniqueCount="818">
  <si>
    <t>SSA Input Details</t>
  </si>
  <si>
    <t>Description</t>
  </si>
  <si>
    <t>Input</t>
  </si>
  <si>
    <t>Google (Customer) Entity</t>
  </si>
  <si>
    <t>WWT Entity</t>
  </si>
  <si>
    <t>Partner 1 Entity</t>
  </si>
  <si>
    <t>Partner 2 Entity</t>
  </si>
  <si>
    <t>Currency</t>
  </si>
  <si>
    <t>&lt;&lt;Select Currency&gt;&gt;</t>
  </si>
  <si>
    <t>Currency Conversion Rate</t>
  </si>
  <si>
    <t>Select PMO Role</t>
  </si>
  <si>
    <t>&lt;&lt;Select Role&gt;&gt;</t>
  </si>
  <si>
    <t>Installation Partner</t>
  </si>
  <si>
    <t>&lt;&lt;Select Partner&gt;&gt;</t>
  </si>
  <si>
    <t>Break/Fix Partner</t>
  </si>
  <si>
    <t>Call Center Partner</t>
  </si>
  <si>
    <t>Estimator File Information</t>
  </si>
  <si>
    <t>The following tabs are hidden:</t>
  </si>
  <si>
    <t>"Summary Old"</t>
  </si>
  <si>
    <t>"WWT IC w FY25 pricing"</t>
  </si>
  <si>
    <t>"PSOW PPT Install"</t>
  </si>
  <si>
    <t>"PMO Resources"</t>
  </si>
  <si>
    <t>SQ - Milestone 1 - Installation</t>
  </si>
  <si>
    <t>SOW Format - FFP</t>
  </si>
  <si>
    <t>Completed Contract</t>
  </si>
  <si>
    <t>Partner</t>
  </si>
  <si>
    <t>QTY</t>
  </si>
  <si>
    <t>Unit Cost (USD)</t>
  </si>
  <si>
    <t>Extended Cost (USD)</t>
  </si>
  <si>
    <t>Revenue (USD)</t>
  </si>
  <si>
    <t>GP (USD)</t>
  </si>
  <si>
    <t>GP%</t>
  </si>
  <si>
    <t>Installation Services</t>
  </si>
  <si>
    <t>Add site walk line</t>
  </si>
  <si>
    <t>Totals</t>
  </si>
  <si>
    <t>SQ - Milestone 2 - Managed Services</t>
  </si>
  <si>
    <t>SOW Format - Streamline</t>
  </si>
  <si>
    <t>Streamline</t>
  </si>
  <si>
    <t>Role/ Partner</t>
  </si>
  <si>
    <t>Cost Center/ Description</t>
  </si>
  <si>
    <t>QTY/ Hours</t>
  </si>
  <si>
    <t>DAY2 - Managed Services Break/Fix</t>
  </si>
  <si>
    <t>DAY2 - Managed Services Call Center</t>
  </si>
  <si>
    <t>Travel Budget</t>
  </si>
  <si>
    <t>SRC IR - Integration Services</t>
  </si>
  <si>
    <t xml:space="preserve"> Cost (USD)</t>
  </si>
  <si>
    <t>Integration Services (Integration, Delivery, CoC)</t>
  </si>
  <si>
    <t>Currency Conversion Tables</t>
  </si>
  <si>
    <t>Unit Cost</t>
  </si>
  <si>
    <t>Extended Cost</t>
  </si>
  <si>
    <t>Revenue</t>
  </si>
  <si>
    <t>GP</t>
  </si>
  <si>
    <t xml:space="preserve"> Cost</t>
  </si>
  <si>
    <t>SKU</t>
  </si>
  <si>
    <t>Column2</t>
  </si>
  <si>
    <t>Integration</t>
  </si>
  <si>
    <t>Delivery</t>
  </si>
  <si>
    <t>title 60 months</t>
  </si>
  <si>
    <t>CSOW Totals</t>
  </si>
  <si>
    <t>Install</t>
  </si>
  <si>
    <t>PMO</t>
  </si>
  <si>
    <t>Break/Fix</t>
  </si>
  <si>
    <t>Call Center</t>
  </si>
  <si>
    <t>CSOW</t>
  </si>
  <si>
    <t>Quality Check against RFP Pricing Table</t>
  </si>
  <si>
    <t>Rack/Stack Integration</t>
  </si>
  <si>
    <t>CC</t>
  </si>
  <si>
    <t>Sum</t>
  </si>
  <si>
    <t>Monthly</t>
  </si>
  <si>
    <t>M/QTY</t>
  </si>
  <si>
    <t>RFP Total</t>
  </si>
  <si>
    <t>Delta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</si>
  <si>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</si>
  <si>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</si>
  <si>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</si>
  <si>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</si>
  <si>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</si>
  <si>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</si>
  <si>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</si>
  <si>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</si>
  <si>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Product9</t>
  </si>
  <si>
    <t>Product10</t>
  </si>
  <si>
    <t>Product11</t>
  </si>
  <si>
    <t>WWT Revenue</t>
  </si>
  <si>
    <t>Column1</t>
  </si>
  <si>
    <t>CSOW2</t>
  </si>
  <si>
    <t>MonthlyProduct1</t>
  </si>
  <si>
    <t>MonthlyProduct2</t>
  </si>
  <si>
    <t>MonthlyProduct3</t>
  </si>
  <si>
    <t>MonthlyProduct4</t>
  </si>
  <si>
    <t>MonthlyProduct5</t>
  </si>
  <si>
    <t>MonthlyProduct6</t>
  </si>
  <si>
    <t>MonthlyProduct7</t>
  </si>
  <si>
    <t>MonthlyProduct8</t>
  </si>
  <si>
    <t>MonthlyProduct9</t>
  </si>
  <si>
    <t>MonthlyProduct10</t>
  </si>
  <si>
    <t>MonthlyProduct11</t>
  </si>
  <si>
    <t>SOW Total</t>
  </si>
  <si>
    <t>Monthly SOW Total</t>
  </si>
  <si>
    <t>Day2 Managed Service &amp; PMO</t>
  </si>
  <si>
    <t>WWT Internal - Integration Cost</t>
  </si>
  <si>
    <t>Estimated VAT (Mo.)</t>
  </si>
  <si>
    <t>Qty</t>
  </si>
  <si>
    <t>Integration Cost</t>
  </si>
  <si>
    <t>total vat</t>
  </si>
  <si>
    <t>InternalProduct1</t>
  </si>
  <si>
    <t>InternalProduct2</t>
  </si>
  <si>
    <t>InternalProduct3</t>
  </si>
  <si>
    <t>InternalProduct4</t>
  </si>
  <si>
    <t>InternalProduct5</t>
  </si>
  <si>
    <t>InternalProduct6</t>
  </si>
  <si>
    <t>InternalProduct7</t>
  </si>
  <si>
    <t>InternalProduct8</t>
  </si>
  <si>
    <t>InternalProduct9</t>
  </si>
  <si>
    <t>InternalProduct10</t>
  </si>
  <si>
    <t>InternalProduct11</t>
  </si>
  <si>
    <t>Total</t>
  </si>
  <si>
    <t>Partner(s) Total Revenue</t>
  </si>
  <si>
    <t>Partner Cost</t>
  </si>
  <si>
    <t>qty</t>
  </si>
  <si>
    <t xml:space="preserve">Install </t>
  </si>
  <si>
    <t>break fix</t>
  </si>
  <si>
    <t>call center</t>
  </si>
  <si>
    <t>Break fix2</t>
  </si>
  <si>
    <t>call center2</t>
  </si>
  <si>
    <t>Break/Fix &amp; Call Center Total</t>
  </si>
  <si>
    <t>PartnerProduct1</t>
  </si>
  <si>
    <t>PartnerProduct2</t>
  </si>
  <si>
    <t>PartnerProduct3</t>
  </si>
  <si>
    <t>PartnerProduct4</t>
  </si>
  <si>
    <t>PartnerProduct5</t>
  </si>
  <si>
    <t>PartnerProduct6</t>
  </si>
  <si>
    <t>PartnerProduct7</t>
  </si>
  <si>
    <t>PartnerProduct8</t>
  </si>
  <si>
    <t>PartnerProduct9</t>
  </si>
  <si>
    <t>PartnerProduct10</t>
  </si>
  <si>
    <t>PartnerProduct11</t>
  </si>
  <si>
    <t>PSOW Total</t>
  </si>
  <si>
    <t>PSOW Monthly Invoice</t>
  </si>
  <si>
    <t>travel fee</t>
  </si>
  <si>
    <t>Park Place</t>
  </si>
  <si>
    <t>WWT PMO</t>
  </si>
  <si>
    <t>PPT CC</t>
  </si>
  <si>
    <t>SDaaS</t>
  </si>
  <si>
    <t>Travel Fee</t>
  </si>
  <si>
    <t>Conversion Rate --&gt;</t>
  </si>
  <si>
    <t>GDCH Base Rack v2</t>
  </si>
  <si>
    <t>GDC OIRv1 Rack</t>
  </si>
  <si>
    <t>GDCH Standard Compute Block</t>
  </si>
  <si>
    <t>Total Vat</t>
  </si>
  <si>
    <t>Cost Breakdown - USD Tables</t>
  </si>
  <si>
    <t>Day 1 - Integration, Asset Holding, &amp; Delivery Services</t>
  </si>
  <si>
    <t>Item</t>
  </si>
  <si>
    <t>Integration Services</t>
  </si>
  <si>
    <t>Title / Asset Holding Fee</t>
  </si>
  <si>
    <t>Crating and Delivery Fee</t>
  </si>
  <si>
    <t>Subtotals</t>
  </si>
  <si>
    <t>Day 1 - Installation Services (Partner Delievered)</t>
  </si>
  <si>
    <t>Partner Organization</t>
  </si>
  <si>
    <t>Services Provided</t>
  </si>
  <si>
    <t>Comment</t>
  </si>
  <si>
    <t>Qty A</t>
  </si>
  <si>
    <t>Onsite Install</t>
  </si>
  <si>
    <t>Day 2 - WWT PMO Services</t>
  </si>
  <si>
    <t>Role</t>
  </si>
  <si>
    <t>Cost Center</t>
  </si>
  <si>
    <t>Hours</t>
  </si>
  <si>
    <t>2026 Cost</t>
  </si>
  <si>
    <t>Day 2 -  Break/Fix &amp; Call Center Services (Partner Delivered)</t>
  </si>
  <si>
    <t>Day 2 support</t>
  </si>
  <si>
    <t>Travel</t>
  </si>
  <si>
    <t>Deal Total (USD)</t>
  </si>
  <si>
    <t>Cost Breakdown - Currency Conversion Tables</t>
  </si>
  <si>
    <t>2025 Cost</t>
  </si>
  <si>
    <t>Changelog (11/13/2025)</t>
  </si>
  <si>
    <t>1) Added SDaaS</t>
  </si>
  <si>
    <t>2) Added Teceze as a Partner PMO</t>
  </si>
  <si>
    <t>3) Added Teceze as a Partner</t>
  </si>
  <si>
    <t>4) Uploaded to Sharepoint</t>
  </si>
  <si>
    <t>Changelog (11/20/2025)</t>
  </si>
  <si>
    <t>1) Updated Completed Contract and Streamline call outs for GSO</t>
  </si>
  <si>
    <t>2) (Beta) Added Dropdown for Currency with Auto Populated Symbols</t>
  </si>
  <si>
    <t>Changelog (12/05/2025)</t>
  </si>
  <si>
    <t>1) Additional Currencies</t>
  </si>
  <si>
    <t>Google Currency</t>
  </si>
  <si>
    <t>USD</t>
  </si>
  <si>
    <t>AUD</t>
  </si>
  <si>
    <t>BRL</t>
  </si>
  <si>
    <t>CAD</t>
  </si>
  <si>
    <t>CNY</t>
  </si>
  <si>
    <t>EUR</t>
  </si>
  <si>
    <t>GBP</t>
  </si>
  <si>
    <t>INR</t>
  </si>
  <si>
    <t>SGD</t>
  </si>
  <si>
    <t>TWD</t>
  </si>
  <si>
    <t>YEN</t>
  </si>
  <si>
    <t>Estimating Tool version 20240425-01</t>
  </si>
  <si>
    <t>Financial Summary for Account Teams</t>
  </si>
  <si>
    <t>Cost</t>
  </si>
  <si>
    <t>Gross Profit</t>
  </si>
  <si>
    <t>Product Sales: Title Holding Fees related to HWaaS sale</t>
  </si>
  <si>
    <t>Supply Chain Services</t>
  </si>
  <si>
    <t>Delivery Services</t>
  </si>
  <si>
    <t>Unrecoverable Taxes related to HW sale in Brazil</t>
  </si>
  <si>
    <t>Other Expenses</t>
  </si>
  <si>
    <t>Financial Summary by Category</t>
  </si>
  <si>
    <t>TD&amp;E &amp; Other Deployment Services</t>
  </si>
  <si>
    <t>Project Management direct labor</t>
  </si>
  <si>
    <t>ATC Labor</t>
  </si>
  <si>
    <t>Crating and Delivery</t>
  </si>
  <si>
    <t>Travel expenses, contractors</t>
  </si>
  <si>
    <t>Subcontracted work</t>
  </si>
  <si>
    <t>Delivery Model and Floor GP without approval (req. recalculation)</t>
  </si>
  <si>
    <t>Subcontractor Only</t>
  </si>
  <si>
    <t xml:space="preserve">Unrecoverable Taxes related to HW sale </t>
  </si>
  <si>
    <t>Deal Total</t>
  </si>
  <si>
    <t>Base SKUs</t>
  </si>
  <si>
    <t>PE (Logical)</t>
  </si>
  <si>
    <t>W/35%</t>
  </si>
  <si>
    <t>Techician
 (Physical + Transactional Charges and Crates)</t>
  </si>
  <si>
    <t>PM Costs</t>
  </si>
  <si>
    <t>OM Costs</t>
  </si>
  <si>
    <t>Per RK</t>
  </si>
  <si>
    <t>FORECAST</t>
  </si>
  <si>
    <t>PM</t>
  </si>
  <si>
    <t>OM</t>
  </si>
  <si>
    <t>xIC</t>
  </si>
  <si>
    <t>WWT Costs</t>
  </si>
  <si>
    <t>W/35% Margin</t>
  </si>
  <si>
    <t>PM Hours</t>
  </si>
  <si>
    <t>OM Hours</t>
  </si>
  <si>
    <t>NAIC</t>
  </si>
  <si>
    <t>EIC</t>
  </si>
  <si>
    <t>AIC-S</t>
  </si>
  <si>
    <t>Expansion Rack</t>
  </si>
  <si>
    <t>General Purpose Server Block</t>
  </si>
  <si>
    <t>W/45%</t>
  </si>
  <si>
    <t xml:space="preserve">Techician
 (Physical + Transactional Charges </t>
  </si>
  <si>
    <t>W/45% Margin</t>
  </si>
  <si>
    <t>GPU Server Block</t>
  </si>
  <si>
    <t>Block Storage</t>
  </si>
  <si>
    <t>Object Storage</t>
  </si>
  <si>
    <t>Deployment - Per Install -  Commercial</t>
  </si>
  <si>
    <t>Deployment - Per Install - Public Sector</t>
  </si>
  <si>
    <t>Country</t>
  </si>
  <si>
    <t xml:space="preserve">GDCH-Base </t>
  </si>
  <si>
    <t>Expansion Rack (OIR, Compute, FileBlock Storage)</t>
  </si>
  <si>
    <t>Expansion Blocks – Standard Compute 
(STD Block)</t>
  </si>
  <si>
    <t>Expansion Blocks – GPU Compute (GDC-GPU Block)</t>
  </si>
  <si>
    <t>Expansion Blocks – GDC-A400 Block</t>
  </si>
  <si>
    <t>Expansion Blocks – Obj-Block &amp; GDC Appliance</t>
  </si>
  <si>
    <t>Expansion Block - GDC Appliance</t>
  </si>
  <si>
    <t>Decomm - Base</t>
  </si>
  <si>
    <t>Decomm - Expansion</t>
  </si>
  <si>
    <t>USA</t>
  </si>
  <si>
    <t>Brazil</t>
  </si>
  <si>
    <t>Canada</t>
  </si>
  <si>
    <t>Colombia</t>
  </si>
  <si>
    <t>Mexico</t>
  </si>
  <si>
    <t>Australia</t>
  </si>
  <si>
    <t>India</t>
  </si>
  <si>
    <t>Indonesia</t>
  </si>
  <si>
    <t>Japan</t>
  </si>
  <si>
    <t>Malaysia</t>
  </si>
  <si>
    <t>New Zealand</t>
  </si>
  <si>
    <t>Philippines</t>
  </si>
  <si>
    <t>Singapore</t>
  </si>
  <si>
    <t>South Korea</t>
  </si>
  <si>
    <t>Taiwan</t>
  </si>
  <si>
    <t>Thailand</t>
  </si>
  <si>
    <t>Vietnam</t>
  </si>
  <si>
    <t>Armenia</t>
  </si>
  <si>
    <t>Belgium</t>
  </si>
  <si>
    <t>Bulgaria</t>
  </si>
  <si>
    <t>Czech Republic</t>
  </si>
  <si>
    <t>Finland</t>
  </si>
  <si>
    <t>France</t>
  </si>
  <si>
    <t>Germany</t>
  </si>
  <si>
    <t>Greece</t>
  </si>
  <si>
    <t>Israel</t>
  </si>
  <si>
    <t>Italy</t>
  </si>
  <si>
    <t>Kazakhstan</t>
  </si>
  <si>
    <t>Luxembourg</t>
  </si>
  <si>
    <t>Morocco</t>
  </si>
  <si>
    <t>Norway</t>
  </si>
  <si>
    <t>Poland</t>
  </si>
  <si>
    <t>Qatar</t>
  </si>
  <si>
    <t>Romania</t>
  </si>
  <si>
    <t>Saudi Arabia</t>
  </si>
  <si>
    <t>South Africa</t>
  </si>
  <si>
    <t>Spain</t>
  </si>
  <si>
    <t>Sweden</t>
  </si>
  <si>
    <t>Switzerland</t>
  </si>
  <si>
    <t>Netherlands</t>
  </si>
  <si>
    <t>Turkey</t>
  </si>
  <si>
    <t>United Arab Emirates</t>
  </si>
  <si>
    <t>United Kingdom</t>
  </si>
  <si>
    <t>Google GDC PMO Team</t>
  </si>
  <si>
    <t>Project Role AKA</t>
  </si>
  <si>
    <t>WWT Oracle Role</t>
  </si>
  <si>
    <t>2026 Cost Rate</t>
  </si>
  <si>
    <t>Strategic Program Mgr</t>
  </si>
  <si>
    <t xml:space="preserve">Project Management.SPgM </t>
  </si>
  <si>
    <t>IS DS PMO SPS Pgm Mgmt</t>
  </si>
  <si>
    <t>Senior PM</t>
  </si>
  <si>
    <t>Project Management.Sr PM</t>
  </si>
  <si>
    <t>IS DS PMO Dedicated</t>
  </si>
  <si>
    <t>Financial Analyst</t>
  </si>
  <si>
    <t>Program.Analyst</t>
  </si>
  <si>
    <t>IS DS PMO SPS FA</t>
  </si>
  <si>
    <t>PC</t>
  </si>
  <si>
    <t>Project Management.Proj Coor</t>
  </si>
  <si>
    <t>IS DS Dedicated Web Svcs PMO</t>
  </si>
  <si>
    <t>Project Management.PM</t>
  </si>
  <si>
    <t>Business Analyst</t>
  </si>
  <si>
    <t>Subcontractor - Purview</t>
  </si>
  <si>
    <t>Day 2 Ops Manager</t>
  </si>
  <si>
    <t>Config Manager</t>
  </si>
  <si>
    <t>Subcontractor - Matchpoint</t>
  </si>
  <si>
    <t>Fed Pool</t>
  </si>
  <si>
    <t>WWT GS Layer 3 - Onsite</t>
  </si>
  <si>
    <t>Subcontractor - WWT Federal LLC</t>
  </si>
  <si>
    <t>Subcontractor - Tecee (sub to Opes Cyber)</t>
  </si>
  <si>
    <t>Teceze PM</t>
  </si>
  <si>
    <t>Subcontractor - Teceze</t>
  </si>
  <si>
    <t>PMO Formula</t>
  </si>
  <si>
    <t>Milestone 2 Rev</t>
  </si>
  <si>
    <t>Milestone 2 Cost w/o PMO</t>
  </si>
  <si>
    <t>Cost at 35%</t>
  </si>
  <si>
    <t>&lt;Go Back to Summary&gt;</t>
  </si>
  <si>
    <t>Other Expenses to Recover through Project</t>
  </si>
  <si>
    <t>NOTE: Expenses have been moved under WBS</t>
  </si>
  <si>
    <t>This section can be used to budget for recovery of P&amp;L expenses that are not direct project costs.</t>
  </si>
  <si>
    <t>Qty B</t>
  </si>
  <si>
    <t>A*B</t>
  </si>
  <si>
    <t>UnitCost</t>
  </si>
  <si>
    <t>ExtCost</t>
  </si>
  <si>
    <t>&lt;Select&gt;</t>
  </si>
  <si>
    <t>new internal project (most common).</t>
  </si>
  <si>
    <t>change to existing internal project (rare).</t>
  </si>
  <si>
    <t>For future use.</t>
  </si>
  <si>
    <t>Use PS Deployment Project tab for now.</t>
  </si>
  <si>
    <t>Variables</t>
  </si>
  <si>
    <t xml:space="preserve">If you need to reference the same values multiple times on a WBS, create variables here and reference them on WBS or other sections. </t>
  </si>
  <si>
    <t xml:space="preserve">This can make it much faster and easier to adjust quantities of devices, sites, phones, APs, IDFs, racks, etc. later. </t>
  </si>
  <si>
    <t>Value</t>
  </si>
  <si>
    <t xml:space="preserve">Country </t>
  </si>
  <si>
    <t>Currency Code</t>
  </si>
  <si>
    <t>Cost Center Hierarchy</t>
  </si>
  <si>
    <t>Cost Center Name</t>
  </si>
  <si>
    <t>Job Code</t>
  </si>
  <si>
    <t>Job Name</t>
  </si>
  <si>
    <t>Currency Symbol</t>
  </si>
  <si>
    <t>Standard Burden Cost Rate</t>
  </si>
  <si>
    <t>US</t>
  </si>
  <si>
    <t xml:space="preserve">Application Services </t>
  </si>
  <si>
    <t>AS - Overhead</t>
  </si>
  <si>
    <t>Agile Delivery.Director</t>
  </si>
  <si>
    <t>$</t>
  </si>
  <si>
    <t>Agile Delivery.Product Owner</t>
  </si>
  <si>
    <t>Consulting.Director</t>
  </si>
  <si>
    <t>Consulting.Staff</t>
  </si>
  <si>
    <t>Services Overhead.Manager</t>
  </si>
  <si>
    <t>Services Overhead.Staff</t>
  </si>
  <si>
    <t>Software.Director</t>
  </si>
  <si>
    <t>Software.Executive</t>
  </si>
  <si>
    <t>Software.Solution Consultant</t>
  </si>
  <si>
    <t>Software.Staff</t>
  </si>
  <si>
    <t>Agile Delivery.Manager</t>
  </si>
  <si>
    <t>AS Agile Billable Group 1</t>
  </si>
  <si>
    <t>Agile Delivery.Business Analyst</t>
  </si>
  <si>
    <t>Agile Delivery.Delivery Lead</t>
  </si>
  <si>
    <t>Agile Delivery.QA Analyst</t>
  </si>
  <si>
    <t>Agile Delivery.QA Engineer</t>
  </si>
  <si>
    <t>Agile Delivery.Software Engineer</t>
  </si>
  <si>
    <t>Agile Delivery.UX Frontend Engineer</t>
  </si>
  <si>
    <t>Consulting.Delivery Engineer</t>
  </si>
  <si>
    <t>Digital.Sr Creative Consultant</t>
  </si>
  <si>
    <t>Agile Delivery.DeliveryLeader</t>
  </si>
  <si>
    <t>AS Agile Billable Group 2</t>
  </si>
  <si>
    <t>Agile Delivery.Security Engineer</t>
  </si>
  <si>
    <t>Consulting.Agile Consultant</t>
  </si>
  <si>
    <t>Agile Delivery.Technical Writer</t>
  </si>
  <si>
    <t>Agile Delivery.DevOps Engineer</t>
  </si>
  <si>
    <t>AS Agile BofA</t>
  </si>
  <si>
    <t>AS Agile BW 80pct</t>
  </si>
  <si>
    <t>AS Agile EDJ 75pct</t>
  </si>
  <si>
    <t>Agile Delivery.Coach</t>
  </si>
  <si>
    <t>AS Agile EHI</t>
  </si>
  <si>
    <t>Digital.Creative Consultant</t>
  </si>
  <si>
    <t>AS Agile EPIC</t>
  </si>
  <si>
    <t>AS Agile HNB 80pct</t>
  </si>
  <si>
    <t>AS Agile JM 80pct</t>
  </si>
  <si>
    <t>AS Agile Kingdom Capital</t>
  </si>
  <si>
    <t>AS Agile MS DOE</t>
  </si>
  <si>
    <t>AS Agile Schnucks 80pct</t>
  </si>
  <si>
    <t>AS Agile Stifel</t>
  </si>
  <si>
    <t>AS Agile Wingstop 80pct</t>
  </si>
  <si>
    <t>AS Consulting AKUSA 80pct</t>
  </si>
  <si>
    <t>AS Overhead Allocated</t>
  </si>
  <si>
    <t xml:space="preserve">Consulting Services </t>
  </si>
  <si>
    <t>CS Automation</t>
  </si>
  <si>
    <t>Automation.Consultant</t>
  </si>
  <si>
    <t>CS BAA Business Development</t>
  </si>
  <si>
    <t>BAA.Analyst</t>
  </si>
  <si>
    <t>BAA.Consultant</t>
  </si>
  <si>
    <t>BAA.Managing Director</t>
  </si>
  <si>
    <t>Automation.Architect</t>
  </si>
  <si>
    <t>CS BAA Consultants</t>
  </si>
  <si>
    <t>BAA.Data Scientist</t>
  </si>
  <si>
    <t>BAA.Engagement Manager</t>
  </si>
  <si>
    <t>CS BAA Engagement Mgt</t>
  </si>
  <si>
    <t>CS.Technical Delivery</t>
  </si>
  <si>
    <t>CS BAA Overhead</t>
  </si>
  <si>
    <t>CS Overhead.Management</t>
  </si>
  <si>
    <t>CS BAA Technical</t>
  </si>
  <si>
    <t>BAA.Engineer</t>
  </si>
  <si>
    <t>BAA.Sr Engineer</t>
  </si>
  <si>
    <t>CS Cloud Dedicated</t>
  </si>
  <si>
    <t>Cloud.Associate Engineer</t>
  </si>
  <si>
    <t>CS Cloud Overhead</t>
  </si>
  <si>
    <t>Cloud.Management</t>
  </si>
  <si>
    <t>CS Cloud Solutions Architects</t>
  </si>
  <si>
    <t>Cloud.Solutions Architect</t>
  </si>
  <si>
    <t>CS Cloud Technical</t>
  </si>
  <si>
    <t>Cloud.Engineer</t>
  </si>
  <si>
    <t>Cloud.PlatformArchitect</t>
  </si>
  <si>
    <t>Cloud.Practice Lead</t>
  </si>
  <si>
    <t>Cloud.Sr Architect</t>
  </si>
  <si>
    <t>CS Cloud Transition Billable</t>
  </si>
  <si>
    <t>Cloud.Sr Engineer</t>
  </si>
  <si>
    <t>CS Cloud Transition Overhead</t>
  </si>
  <si>
    <t>CS Digital BD</t>
  </si>
  <si>
    <t>Digital.Director</t>
  </si>
  <si>
    <t>Digital.Manager</t>
  </si>
  <si>
    <t>Digital.Sr Consultant</t>
  </si>
  <si>
    <t>Digital.Operations</t>
  </si>
  <si>
    <t>CS Digital Billable</t>
  </si>
  <si>
    <t>Agile Delivery.UX Consultant</t>
  </si>
  <si>
    <t>Digital.Architect</t>
  </si>
  <si>
    <t>Digital.Consultant</t>
  </si>
  <si>
    <t>Digital.Program Director</t>
  </si>
  <si>
    <t>Digital.Project Manager</t>
  </si>
  <si>
    <t>CS Digital Overhead</t>
  </si>
  <si>
    <t>CS Security BD</t>
  </si>
  <si>
    <t>Services Overhead.Director</t>
  </si>
  <si>
    <t>Security.Consultant</t>
  </si>
  <si>
    <t>Security.Principal Consultant</t>
  </si>
  <si>
    <t>Security.Technician</t>
  </si>
  <si>
    <t>Security.Sr Consultant</t>
  </si>
  <si>
    <t>CS Security Dedicated</t>
  </si>
  <si>
    <t>CS Security Operations</t>
  </si>
  <si>
    <t>CS Security Services</t>
  </si>
  <si>
    <t xml:space="preserve">Infrastructure Services </t>
  </si>
  <si>
    <t>IS CM Command Center Tier 1</t>
  </si>
  <si>
    <t>COMM Cntr.Contact 1</t>
  </si>
  <si>
    <t>IS CM Overhead</t>
  </si>
  <si>
    <t>IS DS Allctd</t>
  </si>
  <si>
    <t>Engineering.Coordinator</t>
  </si>
  <si>
    <t>Training.Sr Engineer</t>
  </si>
  <si>
    <t>IS DS Automation</t>
  </si>
  <si>
    <t>R&amp;S.Sr Engineer</t>
  </si>
  <si>
    <t>Automation.Engineer</t>
  </si>
  <si>
    <t>Automation.Sr Engineer</t>
  </si>
  <si>
    <t>IS DS CommonSpirit PMO</t>
  </si>
  <si>
    <t>Project Management.PgM</t>
  </si>
  <si>
    <t>IS DS Ddctd Principal Archtcts</t>
  </si>
  <si>
    <t>Principal.Architect</t>
  </si>
  <si>
    <t>IS DS Dedicated Architects</t>
  </si>
  <si>
    <t>Data Center.Architect</t>
  </si>
  <si>
    <t>R&amp;S.Architect</t>
  </si>
  <si>
    <t>Voice.Architect</t>
  </si>
  <si>
    <t>Optical.Architect</t>
  </si>
  <si>
    <t>IS DS Dedicated Eng</t>
  </si>
  <si>
    <t>Data Center.Sr Engineer</t>
  </si>
  <si>
    <t>EUC.Sr Engineer</t>
  </si>
  <si>
    <t>R&amp;S.Engineer</t>
  </si>
  <si>
    <t>Security.Sr Engineer</t>
  </si>
  <si>
    <t>Voice.Engineer</t>
  </si>
  <si>
    <t>Voice.Sr Engineer</t>
  </si>
  <si>
    <t>Voice.Sr Engineer UCCE</t>
  </si>
  <si>
    <t>Wireless.Sr Engineer</t>
  </si>
  <si>
    <t>IS DS Dedicated PMO</t>
  </si>
  <si>
    <t>IS DS Domain Architects</t>
  </si>
  <si>
    <t>Command Center.Architect</t>
  </si>
  <si>
    <t>Security.Architect</t>
  </si>
  <si>
    <t>Design.Architect</t>
  </si>
  <si>
    <t>IS DS Engineering</t>
  </si>
  <si>
    <t>Data Center.Engineer</t>
  </si>
  <si>
    <t>SDN.Architect</t>
  </si>
  <si>
    <t>Security.Engineer</t>
  </si>
  <si>
    <t>PS7128</t>
  </si>
  <si>
    <t>Architect</t>
  </si>
  <si>
    <t>IS DS Fed HI/APAC Eng</t>
  </si>
  <si>
    <t>Consulting.Systems Engineer</t>
  </si>
  <si>
    <t>Wireless.Engineer</t>
  </si>
  <si>
    <t>ServiceNow.Developer</t>
  </si>
  <si>
    <t>IS DS Fed HI/APAC PMO</t>
  </si>
  <si>
    <t>IS DS Federal Dedicated</t>
  </si>
  <si>
    <t>Support.Engineer</t>
  </si>
  <si>
    <t>Voice.Technician</t>
  </si>
  <si>
    <t>IS DS Kaiser Engr Dedicated</t>
  </si>
  <si>
    <t>IS DS Kaiser PMO Dedicated</t>
  </si>
  <si>
    <t>IS DS Kaiser Prgm Eng</t>
  </si>
  <si>
    <t>IS DS Kaiser Prgm PMO</t>
  </si>
  <si>
    <t>IS DS Learning Solutions</t>
  </si>
  <si>
    <t>Learning.Specialist</t>
  </si>
  <si>
    <t>Learning.Sr Specialist</t>
  </si>
  <si>
    <t>IS DS PMO</t>
  </si>
  <si>
    <t>IS DS Principal Architects</t>
  </si>
  <si>
    <t>IS DS Proc &amp; Gam Program</t>
  </si>
  <si>
    <t>IS DS SCE Prgm</t>
  </si>
  <si>
    <t>IS DS Strategic Pgm Mgmt</t>
  </si>
  <si>
    <t>Project Management.Program Director</t>
  </si>
  <si>
    <t>Project Management.SPgM</t>
  </si>
  <si>
    <t>Project Management.SPfD</t>
  </si>
  <si>
    <t>IS DS Strategic Pgm Mgmt Ops</t>
  </si>
  <si>
    <t>IS ES Consultants</t>
  </si>
  <si>
    <t>AdvisoryServices.AssociateConsultant</t>
  </si>
  <si>
    <t>AdvisoryServices.Chief Architect</t>
  </si>
  <si>
    <t>AdvisoryServices.Consultant</t>
  </si>
  <si>
    <t>AdvisoryServices.Enterprise Architect</t>
  </si>
  <si>
    <t>AdvisoryServices.LeadConsultant</t>
  </si>
  <si>
    <t>AdvisoryServices.PrincipalConsultant</t>
  </si>
  <si>
    <t>AdvisoryServices.SeniorConsultant</t>
  </si>
  <si>
    <t>IS ES Consultants Dedicated</t>
  </si>
  <si>
    <t>IS ES Overhead</t>
  </si>
  <si>
    <t>IS ET R&amp;D</t>
  </si>
  <si>
    <t>IS MS Enablement</t>
  </si>
  <si>
    <t>Managed Svcs.Client Exp Champion</t>
  </si>
  <si>
    <t>Managed Svcs.Client Exp Specialist</t>
  </si>
  <si>
    <t>IS MS Overhead</t>
  </si>
  <si>
    <t>IS OH Allctd</t>
  </si>
  <si>
    <t>IS OH Allctd - GES Central</t>
  </si>
  <si>
    <t>IS OH Allctd - GES East Ent</t>
  </si>
  <si>
    <t>IS OH Allctd - GES Global</t>
  </si>
  <si>
    <t>IS OH Allctd - GES West</t>
  </si>
  <si>
    <t>IS OH Allctd - Public Sector</t>
  </si>
  <si>
    <t>IS OH Allctd Kaiser Prgm</t>
  </si>
  <si>
    <t>IS OH Overhead</t>
  </si>
  <si>
    <t>IS OH Practice Mgmt</t>
  </si>
  <si>
    <t xml:space="preserve">Services House </t>
  </si>
  <si>
    <t>SV House Allctd - GES Central</t>
  </si>
  <si>
    <t>SV House Allctd - GES East Ent</t>
  </si>
  <si>
    <t>SV House Allctd - GES Global</t>
  </si>
  <si>
    <t>SV House Allctd - GES West</t>
  </si>
  <si>
    <t>SV House Allctd - GSP</t>
  </si>
  <si>
    <t>SV House Allctd - Public Sec</t>
  </si>
  <si>
    <t>SV House Allocated</t>
  </si>
  <si>
    <t>SV House BD</t>
  </si>
  <si>
    <t>SV House Business Operations</t>
  </si>
  <si>
    <t>SV House Deal Architects</t>
  </si>
  <si>
    <t>Engagement.Architect</t>
  </si>
  <si>
    <t>PS7141</t>
  </si>
  <si>
    <t>Engagement Architect</t>
  </si>
  <si>
    <t>SV House Overhead</t>
  </si>
  <si>
    <t>SV House Product Dev</t>
  </si>
  <si>
    <t>SV House R&amp;D</t>
  </si>
  <si>
    <t>Consulting.Software Engineer</t>
  </si>
  <si>
    <t>SV House Svcs SI&amp;O</t>
  </si>
  <si>
    <t>Services Overhead.Data Analyst</t>
  </si>
  <si>
    <t xml:space="preserve">Strategic Staffing </t>
  </si>
  <si>
    <t>SR AS Billable</t>
  </si>
  <si>
    <t>SR IS Engineering</t>
  </si>
  <si>
    <t>SR IS Kaiser Prgm</t>
  </si>
  <si>
    <t>SR IS PG&amp;E Prgm</t>
  </si>
  <si>
    <t>SR IS State Farm Prgm</t>
  </si>
  <si>
    <t>SR IS WWT FTC</t>
  </si>
  <si>
    <t>Project Management.Proj Coor FTC</t>
  </si>
  <si>
    <t>Project Management.Sr PM FTC</t>
  </si>
  <si>
    <t>Project Management.Sr PM FTC 2</t>
  </si>
  <si>
    <t>Storage.Analyst FTC</t>
  </si>
  <si>
    <t>Support.Technician FTC 1</t>
  </si>
  <si>
    <t>R&amp;S.Engineer FTC 1</t>
  </si>
  <si>
    <t>Storage.Engineer FTC</t>
  </si>
  <si>
    <t>Project Management.PM FTC</t>
  </si>
  <si>
    <t>Project Management.PgM FTC 1</t>
  </si>
  <si>
    <t>Project Management.Sr PM FTC 1</t>
  </si>
  <si>
    <t>Support.Engineer FTC 2</t>
  </si>
  <si>
    <t>Data Center.Engineer FTC</t>
  </si>
  <si>
    <t>R&amp;S.Sr Engineer FTC</t>
  </si>
  <si>
    <t>Storage.Analyst FTC 2</t>
  </si>
  <si>
    <t>Storage.Operations Analyst FTC</t>
  </si>
  <si>
    <t>Software.Engineer FTC 1</t>
  </si>
  <si>
    <t>QA.Engineer FTC</t>
  </si>
  <si>
    <t>Software.Engineer FTC 2</t>
  </si>
  <si>
    <t>IS Business.Analyst FTC</t>
  </si>
  <si>
    <t>Project Management.Proj Coor FTC 1</t>
  </si>
  <si>
    <t>Project Management.Proj Coor NPower FTC</t>
  </si>
  <si>
    <t>Data Center.Engineer FTC 1</t>
  </si>
  <si>
    <t>SR MX Dedicated PMO</t>
  </si>
  <si>
    <t>SR MX Staffing Coordinators</t>
  </si>
  <si>
    <t>SR OH Allctd</t>
  </si>
  <si>
    <t>Services Overhead.Executive</t>
  </si>
  <si>
    <t>SR OH Allctd - GES Central</t>
  </si>
  <si>
    <t>SR OH Allctd - GES West</t>
  </si>
  <si>
    <t>RoleName</t>
  </si>
  <si>
    <t>Burdened Internal Cost/h</t>
  </si>
  <si>
    <t>Latest Rates</t>
  </si>
  <si>
    <t>Comments</t>
  </si>
  <si>
    <t>Difference</t>
  </si>
  <si>
    <t>% increase</t>
  </si>
  <si>
    <t>Date Updated</t>
  </si>
  <si>
    <t>**IS Delivery Services - Engineering**</t>
  </si>
  <si>
    <t>Data Center.Sr Engineer - 100082</t>
  </si>
  <si>
    <t>Data Center.Engineer - 100081</t>
  </si>
  <si>
    <t>Automation.Engineer - 100261</t>
  </si>
  <si>
    <t>R&amp;S.Engineer - 100152</t>
  </si>
  <si>
    <t>EUC.Engineer - 100109</t>
  </si>
  <si>
    <t>Not found</t>
  </si>
  <si>
    <t>R&amp;S.Sr Engineer - 100153</t>
  </si>
  <si>
    <t>EUC.Sr Engineer - 100110</t>
  </si>
  <si>
    <t>SDN.Architect - 100154</t>
  </si>
  <si>
    <t>Security.Sr Engineer - 100160</t>
  </si>
  <si>
    <t>Automation.Sr Engineer - 100272</t>
  </si>
  <si>
    <t>Voice.Sr Engineer UCCE - 100179</t>
  </si>
  <si>
    <t>Voice.Sr Engineer - 100178</t>
  </si>
  <si>
    <t>Voice.Engineer - 100177</t>
  </si>
  <si>
    <t>Wireless.Sr Engineer - 100182</t>
  </si>
  <si>
    <t>Wireless.Engineer - 100182</t>
  </si>
  <si>
    <t>Design.Architect - 100219</t>
  </si>
  <si>
    <t>**IS Enterprise Solutions (formerly Advisory Services) - Consultants**</t>
  </si>
  <si>
    <t>AdvisoryServices.PrincipalConsultant - 100007</t>
  </si>
  <si>
    <t>AdvisoryServices.SeniorConsultant - 100008</t>
  </si>
  <si>
    <t>AdvisoryServices.Consultant - 100003</t>
  </si>
  <si>
    <t>AdvisoryServices.Enterprise Architect - 100004</t>
  </si>
  <si>
    <t>AdvisoryServices.LeadConsultant - 100005</t>
  </si>
  <si>
    <t>AdvisoryServices.AssociateConsultant - 100001</t>
  </si>
  <si>
    <t>AdvisoryServices.Chief Architect - 100002</t>
  </si>
  <si>
    <t>**Services Engagement Team**</t>
  </si>
  <si>
    <t xml:space="preserve">SV House Deal Architects </t>
  </si>
  <si>
    <t>Engagement.Architect - 100106</t>
  </si>
  <si>
    <t>**IS DS Dedicated Roles**</t>
  </si>
  <si>
    <t>Support.Engineer - 100168</t>
  </si>
  <si>
    <t>SDN Architect - 100154</t>
  </si>
  <si>
    <t>Enterprise.Architect - 100108</t>
  </si>
  <si>
    <t>Corrected the job code</t>
  </si>
  <si>
    <t>IS DS Dedicated PMOProject Management.PgM - 100138</t>
  </si>
  <si>
    <t>IS DS Dedicated PMOProject Management.Sr PM - 100142</t>
  </si>
  <si>
    <t>IS DS Dedicated PMOProject Management.PM - 100139</t>
  </si>
  <si>
    <t>IS DS Dedicated PMOProject Management.Proj Coor - 100140</t>
  </si>
  <si>
    <t>**IS Program-Specific Dedicated Roles**</t>
  </si>
  <si>
    <t>Wireless.Engineer - 100181</t>
  </si>
  <si>
    <t>Repeated in row 59</t>
  </si>
  <si>
    <t>Project Management.PgM - 100138</t>
  </si>
  <si>
    <t>Kaiser.Wireless.Technician Prgm Eng 100183</t>
  </si>
  <si>
    <t>Project Management.Sr PM - 100142</t>
  </si>
  <si>
    <t>Project Management.PM - 100139</t>
  </si>
  <si>
    <t>***IS DS CommonSpirit PMO</t>
  </si>
  <si>
    <t>Project Management.Proj Coor - 100140</t>
  </si>
  <si>
    <t>**IS DS Domain Architects**</t>
  </si>
  <si>
    <t>Data Center.Architect - 100080</t>
  </si>
  <si>
    <t>R&amp;S.Architect - 100151</t>
  </si>
  <si>
    <t>Automation.Architect - 100262</t>
  </si>
  <si>
    <t>Security.Architect - 100155</t>
  </si>
  <si>
    <t>Optical.Architect - 100282</t>
  </si>
  <si>
    <t>Voice.Architect - 100176</t>
  </si>
  <si>
    <t>**Business &amp; Analytics Advisors**</t>
  </si>
  <si>
    <t>CS BAA Business DevelopmentBAA.Analyst - 100030</t>
  </si>
  <si>
    <t>Job code is corrected</t>
  </si>
  <si>
    <t>CS BAA Buisness DevelopmentBAA Engagement Manager - 100033</t>
  </si>
  <si>
    <t>BAA.Managing Director - 100035</t>
  </si>
  <si>
    <t>BAA.Analyst - 100030</t>
  </si>
  <si>
    <t>BAA.Consultant - 100031</t>
  </si>
  <si>
    <t>BAA.Data Scientist - 100032</t>
  </si>
  <si>
    <t>BAA.Engagement Manager - 100033</t>
  </si>
  <si>
    <t>CS Cloud.Business Development - 100275</t>
  </si>
  <si>
    <t>CS Cloud.Consultant Dedicated - 100049</t>
  </si>
  <si>
    <t>Cloud.Management - 100052</t>
  </si>
  <si>
    <t>Cloud.PlatformArchitect - 100053</t>
  </si>
  <si>
    <t>Cloud.Practice Lead - 100278</t>
  </si>
  <si>
    <t>Cloud.Solutions Architect - 100276</t>
  </si>
  <si>
    <t>**PS Emerging Services**</t>
  </si>
  <si>
    <t>Check with ES team; verify in Tableau or Reference&gt;Finance&gt;Burdened Rates</t>
  </si>
  <si>
    <t>CS BAA TechnicalBAA.Engineer - 100034</t>
  </si>
  <si>
    <t>CS BAA TechnicalBAA.Sr Engineer - 100036</t>
  </si>
  <si>
    <t xml:space="preserve">**IS DS Strategic Pgm Mgmt** </t>
  </si>
  <si>
    <t>Project Management.Program Director - 100238</t>
  </si>
  <si>
    <t>** IS DS PMO**</t>
  </si>
  <si>
    <t>**Sales - CSE**</t>
  </si>
  <si>
    <t>Verify role/rate in Tableau or Reference&gt;Finance&gt;Burdened Rates</t>
  </si>
  <si>
    <t>**Application Services**</t>
  </si>
  <si>
    <t>Agile Delivery.Business Analyst, Software-Agile Dedicated 70pct - 100009</t>
  </si>
  <si>
    <t>Mannual Update</t>
  </si>
  <si>
    <t>Agile Delivery.Coach, Software-Agile Shared 25pct  4860</t>
  </si>
  <si>
    <t>Agile Delivery.Delivery Lead, Software-Agile Dedicated 70pct -  100011</t>
  </si>
  <si>
    <t>ATC.Engineer - 100025</t>
  </si>
  <si>
    <t>Agile Delivery.Director, Software-Agile Overhead - 100012</t>
  </si>
  <si>
    <t>Agile Delivery.Product Owner, Software-Agile Dedicated 70pct - 100014</t>
  </si>
  <si>
    <t>Agile Delivery.QA Analyst, Software-Agile Dedicated 70pct AS- 100015</t>
  </si>
  <si>
    <t>AS Agile Shared.Product Owner, Software-Agile Dedicated 60pct -  100014</t>
  </si>
  <si>
    <t>Agile Delivery.QA Engineer, Software-Agile Dedicated 70pct - 100016</t>
  </si>
  <si>
    <t>Agile Delivery.Security Engineer, Software-Agile Split 60pct -100017</t>
  </si>
  <si>
    <t>Agile Delivery.Software Engineer, Software-Agile Dedicated 70pct - 100018</t>
  </si>
  <si>
    <t>Agile Delivery.Staff, Software-Agile Overhead - 100019</t>
  </si>
  <si>
    <t>Agile Delivery.UX Consultant, Software-Agile Split 60pct - 100020</t>
  </si>
  <si>
    <t>Agile Delivery.UX Frontend Engineer, Software-Agile Split 70pct - 100021</t>
  </si>
  <si>
    <t>Agile Delivery.UX Mentor, Software-Agile Split 60pct -  100022</t>
  </si>
  <si>
    <t>**IS Enterprise Solutions (formerly Advisory Services) - Dedicated**</t>
  </si>
  <si>
    <t>**IS DS Learning Solutions (formerly Adoption Services)**</t>
  </si>
  <si>
    <t>Learning.Specialist - 100133</t>
  </si>
  <si>
    <t>Learning.Sr Specialist - 100134</t>
  </si>
  <si>
    <t>** Consulting Services **</t>
  </si>
  <si>
    <t>CS Security Billable A, Security Architect -100155</t>
  </si>
  <si>
    <t>Security.Consultant - 100156</t>
  </si>
  <si>
    <t>Security.Principal Consultant - 100159</t>
  </si>
  <si>
    <t>Security.Technician - 100161</t>
  </si>
  <si>
    <t>IS ES CIG Service Investments**</t>
  </si>
  <si>
    <t>Enterprise.Architect - CIG Service Investments - 100108</t>
  </si>
  <si>
    <t>GET.Architect - AS - 100117</t>
  </si>
  <si>
    <t>GET.Engineer - AS - 100119</t>
  </si>
  <si>
    <t>GET.Engineer - CS - 100119</t>
  </si>
  <si>
    <t>Managed Svcs.Client Exp Champion - 100246</t>
  </si>
  <si>
    <t>Managed Svcs.Client Exp Specialist - 100247</t>
  </si>
  <si>
    <t>CS Cloud.Associate Engineer.AWS -100274</t>
  </si>
  <si>
    <t>CS Cloud.Associate Engineer.Msft - 100274</t>
  </si>
  <si>
    <t>CS Cloud.Engineer.AWS - 100051</t>
  </si>
  <si>
    <t>CS Cloud.Engineer.Google - 100051</t>
  </si>
  <si>
    <t>CS Cloud.Engineer.Msft - 100051</t>
  </si>
  <si>
    <t>CS Cloud.Enterprise Architect - 100277</t>
  </si>
  <si>
    <t>CS Cloud.PlatformArchitect.AWS - 100053</t>
  </si>
  <si>
    <t>CS Cloud.PlatformArchitect.Google - 100053</t>
  </si>
  <si>
    <t>CS Cloud.PlatformArchitect.Msft - 100053</t>
  </si>
  <si>
    <t>CS Cloud.Practice Lead.Msft - 100278</t>
  </si>
  <si>
    <t>CS Cloud.Sr Architect.AWS -100279</t>
  </si>
  <si>
    <t>CS Cloud.Sr Architect.Msft -100279</t>
  </si>
  <si>
    <t>CS Cloud.Sr Engineer.AWS -100280</t>
  </si>
  <si>
    <t>CS Cloud.Sr Engineer.Msft -100280</t>
  </si>
  <si>
    <t>Version</t>
  </si>
  <si>
    <t>Date</t>
  </si>
  <si>
    <t>Initiator</t>
  </si>
  <si>
    <t>Category</t>
  </si>
  <si>
    <t>Current</t>
  </si>
  <si>
    <t>Recommended</t>
  </si>
  <si>
    <t>Reason</t>
  </si>
  <si>
    <t>PMO Approval Date</t>
  </si>
  <si>
    <t>20220505-1</t>
  </si>
  <si>
    <t>Melissa Kramer</t>
  </si>
  <si>
    <t>Complexity Categorization Header</t>
  </si>
  <si>
    <t>Project/Program Complexity Categorization Header</t>
  </si>
  <si>
    <t>Remove Program from Header</t>
  </si>
  <si>
    <t>This tool is used for run rate projects only, no programs</t>
  </si>
  <si>
    <t>PC hours</t>
  </si>
  <si>
    <t>If primary role is not PC, multiply primary role's hours by 25% and give result to PC
- If total of primary and PC &lt;= 60, give total hours to primary role</t>
  </si>
  <si>
    <t>No PC hours unless PC is primary role assigned</t>
  </si>
  <si>
    <t>PC calculation is creating unnatural result</t>
  </si>
  <si>
    <t>PLW Hours</t>
  </si>
  <si>
    <t>If PLW, add 24 hours</t>
  </si>
  <si>
    <t>If PLW, add 30 hours</t>
  </si>
  <si>
    <t>Accounts for the removal of the PC calculation</t>
  </si>
  <si>
    <t>ISE</t>
  </si>
  <si>
    <t>ISE not included in Newer/Complex technology list</t>
  </si>
  <si>
    <t>Add ISE to Newer/Complex technology list</t>
  </si>
  <si>
    <t>ISE needs a higher level assignment to better reflect its complexity</t>
  </si>
  <si>
    <t>Region</t>
  </si>
  <si>
    <t xml:space="preserve">- Low = Single country with &lt;5 locations
- Low-Medium = Single country with 5-19 locations
- Medium - Single country with 20+ locations </t>
  </si>
  <si>
    <t>- Set Low to One Country
- Set Low-Medium to Single country with &lt; 5 locations
- Medium = Single country with 5-19 locations</t>
  </si>
  <si>
    <t>Better reflects complexity of each entry</t>
  </si>
  <si>
    <t>Region Note</t>
  </si>
  <si>
    <t>Blank</t>
  </si>
  <si>
    <t>Add note: 20+ locations or multiple countries and seems like multi-site, reach out to Branch Services Sales Support team (Manager is Derek Smethers)</t>
  </si>
  <si>
    <t>Direct individuals to multi-site contacts when site count is &gt; 20</t>
  </si>
  <si>
    <t>Region Formatting</t>
  </si>
  <si>
    <t>No fill</t>
  </si>
  <si>
    <t>High and Very High are highlighted yellow to alert user to contact PMO and consult Complex Deal criteria</t>
  </si>
  <si>
    <t>Call attention to need to involve PMO and initiate Complex Deal process</t>
  </si>
  <si>
    <t>Scope Note</t>
  </si>
  <si>
    <t>Model should only be used for run rate projects, not programs. For programs, contact the regional Sr PMO Manager or Strategic Program Services"</t>
  </si>
  <si>
    <t>Scope</t>
  </si>
  <si>
    <t>Stakeholder/ Delivery</t>
  </si>
  <si>
    <t>Low-Medium = Known customer, Known WWT delivery or known partner</t>
  </si>
  <si>
    <t>Low-Medium = Known customer, Known partner</t>
  </si>
  <si>
    <t>Clears up confusion between Low and Low-Medium</t>
  </si>
  <si>
    <t>Stakeholder/ Delivery Note</t>
  </si>
  <si>
    <t>No note</t>
  </si>
  <si>
    <t>Note indicating Requires PMO or account team input, if unknown default to a 3, customer might require more care and feeding due to more status calls/delays in getting signatures/PM attends every meeting (even if not tied into projects)-CHECK Customer notes use High for a difficult customer</t>
  </si>
  <si>
    <t>Indicates how to handle unknown or high touch customers</t>
  </si>
  <si>
    <t>Technology - High</t>
  </si>
  <si>
    <t>Emerging technology
Advanced Solutions
Multi Site Transformations</t>
  </si>
  <si>
    <t>Emerging technology
Advanced Solutions</t>
  </si>
  <si>
    <t>Multi-site is not addressed by this tool</t>
  </si>
  <si>
    <t>Team (Total internal resources) - High/Very High</t>
  </si>
  <si>
    <t>Highlighted yellow to alert user to contact PMO and consult Complex Deal criteria</t>
  </si>
  <si>
    <t>Change Management</t>
  </si>
  <si>
    <t>None</t>
  </si>
  <si>
    <t>Implement Change Log and utilize OCP for all changes</t>
  </si>
  <si>
    <t>Ensures appropriate visibility to changes</t>
  </si>
  <si>
    <t>Minimum Duration (wks) Calc from Eng Hours</t>
  </si>
  <si>
    <t>Duration Calculation from Engineering Hours = (Total # of Engineering Hours / 40)/.85</t>
  </si>
  <si>
    <t xml:space="preserve">Duration Calculation from Engineering Hours = round up Total # of Engineering Hours / 40, then add 2 </t>
  </si>
  <si>
    <t>Ensures duration will round up to next week when returned value is greater than .0 and adds 2 weeks to account for a minimum 1 week start-up and 1 week close-out</t>
  </si>
  <si>
    <t>Duration (weeks) Calc</t>
  </si>
  <si>
    <t>Pulls value in Minimum Duration (wks) field</t>
  </si>
  <si>
    <t>Cell is blank</t>
  </si>
  <si>
    <t>Ensures scoping tool user considers factors other engineering hours when determining project duration</t>
  </si>
  <si>
    <t>Duration (weeks) - corresponding Notes/Assumptions cell</t>
  </si>
  <si>
    <t>Populate with "Minimum Duration (wks) cell converts total # of engineering hours to weeks and adds two weeks for minimum start-up and close-out. When determining actual duration consider other factors such as HW timing, document review, spacing between cuts, etc."</t>
  </si>
  <si>
    <t>Ensures all project factors are considered when determining duration</t>
  </si>
  <si>
    <t>Stakeholders/Delivery Complexity Category</t>
  </si>
  <si>
    <t>Fed and SLED are both considered Medium</t>
  </si>
  <si>
    <t>Move SLED Education to Low-Medium</t>
  </si>
  <si>
    <t>SLED Education is less challenging and citizen critical infrastructure (e.g., hospitals and airports) than SLED non-Education</t>
  </si>
  <si>
    <t>Technology Complexity Category</t>
  </si>
  <si>
    <t>Fed and SLED technology rollouts are both considered Medium</t>
  </si>
  <si>
    <t>Contact Center and ISE are considered Medium; Cloud isn't captured anywhere</t>
  </si>
  <si>
    <t>Move Contact Center and ISE and add Cloud to High</t>
  </si>
  <si>
    <t>Contact Center, ISE, and Cloud projects are proving to be more complex to manage</t>
  </si>
  <si>
    <t>PMO Resource Level Determination</t>
  </si>
  <si>
    <t xml:space="preserve">Only complexity ranking determines resource level </t>
  </si>
  <si>
    <t>Complexity ranking, high technology selection (F8), and very high technology selection (G8) determines resource level</t>
  </si>
  <si>
    <t>Estimate for Supply Chain Services</t>
  </si>
  <si>
    <t xml:space="preserve">Internal Quote </t>
  </si>
  <si>
    <t>Internal Cost from "ITC Config" tool</t>
  </si>
  <si>
    <t>Additional PM &amp; Warehouse Labor (2014)</t>
  </si>
  <si>
    <t>Supply Chain Program Management</t>
  </si>
  <si>
    <t>per hour</t>
  </si>
  <si>
    <t>Material Operations</t>
  </si>
  <si>
    <t>Shipping &amp; Receiving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</si>
</sst>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000_);_(&quot;$&quot;* \(#,##0.00000\);_(&quot;$&quot;* &quot;-&quot;??_);_(@_)"/>
    <numFmt numFmtId="165" formatCode="_([$$-409]* #,##0.00_);_([$$-409]* \(#,##0.00\);_([$$-409]* &quot;-&quot;??_);_(@_)"/>
    <numFmt numFmtId="166" formatCode="0.000%"/>
    <numFmt numFmtId="167" formatCode="m/d/yy;@"/>
    <numFmt numFmtId="168" formatCode="&quot;$&quot;#,##0.00"/>
    <numFmt numFmtId="169" formatCode="_(* #,##0_);_(* \(#,##0\);_(* &quot;-&quot;??_);_(@_)"/>
    <numFmt numFmtId="170" formatCode="_-[$£-809]* #,##0.00_-;\-[$£-809]* #,##0.00_-;_-[$£-809]* &quot;-&quot;??_-;_-@_-"/>
    <numFmt numFmtId="171" formatCode="_([$€-2]\ * #,##0.00_);_([$€-2]\ * \(#,##0.00\);_([$€-2]\ * &quot;-&quot;??_);_(@_)"/>
    <numFmt numFmtId="172" formatCode="[$€-2]\ #,##0.00"/>
  </numFmts>
  <fonts count="38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rgb="FF3F3F76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u/>
      <sz val="11"/>
      <color theme="10"/>
      <name val="Arial"/>
      <family val="2"/>
    </font>
    <font>
      <sz val="11"/>
      <name val="Arial"/>
      <family val="2"/>
    </font>
    <font>
      <i/>
      <sz val="11"/>
      <color theme="1"/>
      <name val="Arial"/>
      <family val="2"/>
    </font>
    <font>
      <b/>
      <sz val="11"/>
      <color rgb="FF3F3F76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color rgb="FF5C667B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sz val="12"/>
      <color rgb="FF000000"/>
      <name val="Aptos Narrow"/>
      <family val="2"/>
    </font>
    <font>
      <sz val="11"/>
      <color rgb="FF000000"/>
      <name val="Arial"/>
      <family val="2"/>
    </font>
    <font>
      <b/>
      <sz val="20"/>
      <name val="Arial"/>
      <family val="2"/>
    </font>
    <font>
      <b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BF7A5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EF5A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medium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theme="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30">
    <xf numFmtId="0" fontId="0" fillId="0" borderId="0"/>
    <xf numFmtId="0" fontId="9" fillId="2" borderId="4"/>
    <xf numFmtId="9" fontId="7" fillId="0" borderId="0"/>
    <xf numFmtId="44" fontId="7" fillId="0" borderId="0"/>
    <xf numFmtId="0" fontId="12" fillId="0" borderId="0">
      <alignment vertical="top"/>
      <protection locked="0"/>
    </xf>
    <xf numFmtId="0" fontId="10" fillId="4" borderId="20"/>
    <xf numFmtId="0" fontId="8" fillId="3" borderId="11"/>
    <xf numFmtId="0" fontId="10" fillId="4" borderId="20"/>
    <xf numFmtId="0" fontId="7" fillId="0" borderId="0"/>
    <xf numFmtId="0" fontId="5" fillId="0" borderId="0"/>
    <xf numFmtId="43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0" borderId="0"/>
    <xf numFmtId="0" fontId="7" fillId="0" borderId="0"/>
    <xf numFmtId="0" fontId="18" fillId="0" borderId="0"/>
    <xf numFmtId="0" fontId="7" fillId="0" borderId="0"/>
    <xf numFmtId="0" fontId="7" fillId="0" borderId="0"/>
    <xf numFmtId="44" fontId="7" fillId="0" borderId="0"/>
    <xf numFmtId="44" fontId="7" fillId="0" borderId="0"/>
    <xf numFmtId="0" fontId="7" fillId="0" borderId="0"/>
    <xf numFmtId="44" fontId="7" fillId="0" borderId="0"/>
    <xf numFmtId="0" fontId="7" fillId="0" borderId="0"/>
    <xf numFmtId="43" fontId="7" fillId="0" borderId="0"/>
    <xf numFmtId="0" fontId="7" fillId="27" borderId="0"/>
    <xf numFmtId="44" fontId="7" fillId="0" borderId="0"/>
    <xf numFmtId="44" fontId="7" fillId="0" borderId="0"/>
  </cellStyleXfs>
  <cellXfs count="480">
    <xf numFmtId="0" fontId="0" fillId="0" borderId="0" xfId="0"/>
    <xf numFmtId="0" fontId="10" fillId="0" borderId="0" xfId="0" applyFont="1"/>
    <xf numFmtId="0" fontId="8" fillId="0" borderId="0" xfId="0" applyFont="1"/>
    <xf numFmtId="0" fontId="8" fillId="3" borderId="19" xfId="6" applyBorder="1"/>
    <xf numFmtId="0" fontId="8" fillId="3" borderId="18" xfId="6" applyBorder="1"/>
    <xf numFmtId="44" fontId="8" fillId="0" borderId="0" xfId="0" applyNumberFormat="1" applyFont="1"/>
    <xf numFmtId="0" fontId="0" fillId="4" borderId="20" xfId="5" applyFont="1"/>
    <xf numFmtId="44" fontId="6" fillId="4" borderId="20" xfId="3" applyFont="1" applyFill="1" applyBorder="1"/>
    <xf numFmtId="0" fontId="6" fillId="4" borderId="20" xfId="5" applyFont="1"/>
    <xf numFmtId="0" fontId="8" fillId="3" borderId="23" xfId="6" applyBorder="1"/>
    <xf numFmtId="0" fontId="8" fillId="0" borderId="10" xfId="0" applyFont="1" applyBorder="1"/>
    <xf numFmtId="0" fontId="8" fillId="0" borderId="15" xfId="0" applyFont="1" applyBorder="1"/>
    <xf numFmtId="0" fontId="0" fillId="0" borderId="9" xfId="0" applyBorder="1" applyAlignment="1">
      <alignment horizontal="left" indent="2"/>
    </xf>
    <xf numFmtId="0" fontId="8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8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26" xfId="0" applyFont="1" applyBorder="1" applyAlignment="1">
      <alignment horizontal="center" vertical="center"/>
    </xf>
    <xf numFmtId="0" fontId="6" fillId="0" borderId="0" xfId="0" applyFont="1"/>
    <xf numFmtId="0" fontId="8" fillId="0" borderId="9" xfId="0" applyFont="1" applyBorder="1"/>
    <xf numFmtId="44" fontId="8" fillId="0" borderId="0" xfId="0" applyNumberFormat="1" applyFont="1" applyAlignment="1">
      <alignment horizontal="center"/>
    </xf>
    <xf numFmtId="9" fontId="9" fillId="2" borderId="4" xfId="2" applyFont="1" applyFill="1" applyBorder="1"/>
    <xf numFmtId="164" fontId="9" fillId="2" borderId="4" xfId="2" applyNumberFormat="1" applyFont="1" applyFill="1" applyBorder="1"/>
    <xf numFmtId="0" fontId="14" fillId="0" borderId="0" xfId="0" applyFont="1"/>
    <xf numFmtId="0" fontId="8" fillId="3" borderId="18" xfId="6" applyBorder="1" applyAlignment="1">
      <alignment horizontal="center"/>
    </xf>
    <xf numFmtId="0" fontId="10" fillId="0" borderId="0" xfId="0" applyFont="1" applyAlignment="1">
      <alignment horizontal="center"/>
    </xf>
    <xf numFmtId="2" fontId="0" fillId="0" borderId="0" xfId="0" applyNumberFormat="1"/>
    <xf numFmtId="165" fontId="0" fillId="0" borderId="1" xfId="0" applyNumberFormat="1" applyBorder="1"/>
    <xf numFmtId="166" fontId="6" fillId="0" borderId="0" xfId="2" applyNumberFormat="1" applyFont="1" applyAlignment="1">
      <alignment horizontal="right"/>
    </xf>
    <xf numFmtId="166" fontId="8" fillId="0" borderId="0" xfId="2" applyNumberFormat="1" applyFont="1" applyAlignment="1">
      <alignment horizontal="right"/>
    </xf>
    <xf numFmtId="165" fontId="0" fillId="0" borderId="27" xfId="0" applyNumberFormat="1" applyBorder="1"/>
    <xf numFmtId="165" fontId="0" fillId="0" borderId="28" xfId="0" applyNumberFormat="1" applyBorder="1"/>
    <xf numFmtId="0" fontId="0" fillId="0" borderId="9" xfId="0" applyBorder="1"/>
    <xf numFmtId="0" fontId="12" fillId="0" borderId="0" xfId="4" applyAlignment="1" applyProtection="1"/>
    <xf numFmtId="0" fontId="6" fillId="4" borderId="20" xfId="5" applyFont="1" applyAlignment="1">
      <alignment horizontal="center"/>
    </xf>
    <xf numFmtId="0" fontId="9" fillId="2" borderId="4" xfId="1" applyAlignment="1">
      <alignment horizontal="right"/>
    </xf>
    <xf numFmtId="0" fontId="8" fillId="3" borderId="23" xfId="6" applyBorder="1" applyAlignment="1">
      <alignment horizontal="center"/>
    </xf>
    <xf numFmtId="166" fontId="0" fillId="0" borderId="0" xfId="2" applyNumberFormat="1" applyFont="1"/>
    <xf numFmtId="165" fontId="0" fillId="0" borderId="2" xfId="0" applyNumberFormat="1" applyBorder="1"/>
    <xf numFmtId="166" fontId="6" fillId="0" borderId="3" xfId="2" applyNumberFormat="1" applyFont="1" applyBorder="1" applyAlignment="1">
      <alignment horizontal="right"/>
    </xf>
    <xf numFmtId="165" fontId="0" fillId="0" borderId="21" xfId="0" applyNumberFormat="1" applyBorder="1"/>
    <xf numFmtId="166" fontId="6" fillId="0" borderId="22" xfId="2" applyNumberFormat="1" applyFont="1" applyBorder="1" applyAlignment="1">
      <alignment horizontal="right"/>
    </xf>
    <xf numFmtId="0" fontId="8" fillId="0" borderId="9" xfId="0" applyFont="1" applyBorder="1" applyAlignment="1">
      <alignment horizontal="left" indent="2"/>
    </xf>
    <xf numFmtId="0" fontId="0" fillId="0" borderId="12" xfId="0" applyBorder="1" applyAlignment="1">
      <alignment horizontal="left"/>
    </xf>
    <xf numFmtId="0" fontId="0" fillId="0" borderId="13" xfId="0" applyBorder="1"/>
    <xf numFmtId="0" fontId="0" fillId="0" borderId="29" xfId="0" applyBorder="1"/>
    <xf numFmtId="9" fontId="15" fillId="2" borderId="4" xfId="2" applyFont="1" applyFill="1" applyBorder="1"/>
    <xf numFmtId="0" fontId="6" fillId="0" borderId="7" xfId="0" applyFont="1" applyBorder="1"/>
    <xf numFmtId="0" fontId="6" fillId="0" borderId="13" xfId="0" applyFont="1" applyBorder="1"/>
    <xf numFmtId="0" fontId="6" fillId="0" borderId="6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165" fontId="6" fillId="0" borderId="0" xfId="0" applyNumberFormat="1" applyFont="1"/>
    <xf numFmtId="0" fontId="6" fillId="0" borderId="12" xfId="0" applyFont="1" applyBorder="1"/>
    <xf numFmtId="165" fontId="6" fillId="0" borderId="13" xfId="0" applyNumberFormat="1" applyFont="1" applyBorder="1"/>
    <xf numFmtId="166" fontId="6" fillId="0" borderId="13" xfId="2" applyNumberFormat="1" applyFont="1" applyBorder="1"/>
    <xf numFmtId="165" fontId="6" fillId="0" borderId="15" xfId="0" applyNumberFormat="1" applyFont="1" applyBorder="1"/>
    <xf numFmtId="166" fontId="6" fillId="0" borderId="0" xfId="2" applyNumberFormat="1" applyFont="1"/>
    <xf numFmtId="0" fontId="6" fillId="0" borderId="0" xfId="0" applyFont="1" applyAlignment="1">
      <alignment horizontal="center"/>
    </xf>
    <xf numFmtId="44" fontId="6" fillId="0" borderId="0" xfId="0" applyNumberFormat="1" applyFont="1"/>
    <xf numFmtId="0" fontId="6" fillId="0" borderId="0" xfId="0" applyFont="1" applyAlignment="1">
      <alignment horizontal="right"/>
    </xf>
    <xf numFmtId="164" fontId="9" fillId="5" borderId="4" xfId="2" applyNumberFormat="1" applyFont="1" applyFill="1" applyBorder="1"/>
    <xf numFmtId="0" fontId="16" fillId="10" borderId="1" xfId="19" applyFont="1" applyFill="1" applyBorder="1" applyAlignment="1">
      <alignment horizontal="center" wrapText="1"/>
    </xf>
    <xf numFmtId="0" fontId="4" fillId="0" borderId="0" xfId="19" applyFont="1"/>
    <xf numFmtId="0" fontId="19" fillId="0" borderId="1" xfId="16" applyFont="1" applyBorder="1" applyAlignment="1">
      <alignment vertical="center" wrapText="1"/>
    </xf>
    <xf numFmtId="0" fontId="4" fillId="0" borderId="0" xfId="19" applyFont="1" applyAlignment="1">
      <alignment wrapText="1"/>
    </xf>
    <xf numFmtId="167" fontId="16" fillId="10" borderId="1" xfId="19" applyNumberFormat="1" applyFont="1" applyFill="1" applyBorder="1" applyAlignment="1">
      <alignment horizontal="center" wrapText="1"/>
    </xf>
    <xf numFmtId="167" fontId="4" fillId="0" borderId="0" xfId="19" applyNumberFormat="1" applyFont="1"/>
    <xf numFmtId="164" fontId="9" fillId="12" borderId="4" xfId="2" applyNumberFormat="1" applyFont="1" applyFill="1" applyBorder="1"/>
    <xf numFmtId="9" fontId="15" fillId="8" borderId="4" xfId="2" applyFont="1" applyFill="1" applyBorder="1"/>
    <xf numFmtId="164" fontId="9" fillId="8" borderId="4" xfId="2" applyNumberFormat="1" applyFont="1" applyFill="1" applyBorder="1"/>
    <xf numFmtId="0" fontId="0" fillId="0" borderId="32" xfId="0" applyBorder="1" applyAlignment="1">
      <alignment horizontal="center" vertical="top"/>
    </xf>
    <xf numFmtId="0" fontId="0" fillId="13" borderId="32" xfId="0" applyFill="1" applyBorder="1" applyAlignment="1">
      <alignment horizontal="center" vertical="top"/>
    </xf>
    <xf numFmtId="44" fontId="0" fillId="0" borderId="0" xfId="3" applyFont="1"/>
    <xf numFmtId="9" fontId="0" fillId="0" borderId="0" xfId="2" applyFont="1"/>
    <xf numFmtId="0" fontId="0" fillId="14" borderId="32" xfId="0" applyFill="1" applyBorder="1" applyAlignment="1">
      <alignment horizontal="center" vertical="top"/>
    </xf>
    <xf numFmtId="44" fontId="0" fillId="8" borderId="0" xfId="3" applyFont="1" applyFill="1"/>
    <xf numFmtId="0" fontId="0" fillId="8" borderId="32" xfId="0" applyFill="1" applyBorder="1" applyAlignment="1">
      <alignment horizontal="center" vertical="top"/>
    </xf>
    <xf numFmtId="9" fontId="0" fillId="0" borderId="0" xfId="0" applyNumberFormat="1"/>
    <xf numFmtId="9" fontId="9" fillId="15" borderId="4" xfId="2" applyFont="1" applyFill="1" applyBorder="1"/>
    <xf numFmtId="0" fontId="0" fillId="0" borderId="0" xfId="0" applyAlignment="1">
      <alignment horizontal="center" vertical="top"/>
    </xf>
    <xf numFmtId="0" fontId="0" fillId="9" borderId="0" xfId="0" applyFill="1"/>
    <xf numFmtId="14" fontId="0" fillId="9" borderId="0" xfId="0" applyNumberFormat="1" applyFill="1"/>
    <xf numFmtId="0" fontId="21" fillId="0" borderId="0" xfId="0" applyFont="1"/>
    <xf numFmtId="168" fontId="0" fillId="0" borderId="0" xfId="0" applyNumberFormat="1"/>
    <xf numFmtId="0" fontId="0" fillId="0" borderId="0" xfId="0" applyAlignment="1">
      <alignment horizontal="center" vertical="center"/>
    </xf>
    <xf numFmtId="0" fontId="21" fillId="0" borderId="9" xfId="0" applyFont="1" applyBorder="1"/>
    <xf numFmtId="168" fontId="0" fillId="0" borderId="34" xfId="0" applyNumberFormat="1" applyBorder="1"/>
    <xf numFmtId="168" fontId="22" fillId="0" borderId="0" xfId="22" applyNumberFormat="1" applyFont="1"/>
    <xf numFmtId="168" fontId="0" fillId="0" borderId="33" xfId="0" applyNumberFormat="1" applyBorder="1"/>
    <xf numFmtId="168" fontId="0" fillId="0" borderId="5" xfId="0" applyNumberFormat="1" applyBorder="1"/>
    <xf numFmtId="0" fontId="3" fillId="0" borderId="0" xfId="23" applyFont="1"/>
    <xf numFmtId="0" fontId="16" fillId="0" borderId="0" xfId="23" applyFont="1"/>
    <xf numFmtId="168" fontId="26" fillId="7" borderId="0" xfId="23" applyNumberFormat="1" applyFont="1" applyFill="1" applyAlignment="1">
      <alignment horizontal="center"/>
    </xf>
    <xf numFmtId="0" fontId="27" fillId="0" borderId="1" xfId="23" applyFont="1" applyBorder="1" applyAlignment="1">
      <alignment horizontal="center" wrapText="1"/>
    </xf>
    <xf numFmtId="168" fontId="16" fillId="0" borderId="1" xfId="23" applyNumberFormat="1" applyFont="1" applyBorder="1" applyAlignment="1">
      <alignment horizontal="center" wrapText="1"/>
    </xf>
    <xf numFmtId="168" fontId="3" fillId="0" borderId="0" xfId="23" applyNumberFormat="1" applyFont="1" applyAlignment="1">
      <alignment horizontal="center"/>
    </xf>
    <xf numFmtId="168" fontId="8" fillId="0" borderId="0" xfId="0" applyNumberFormat="1" applyFont="1"/>
    <xf numFmtId="0" fontId="0" fillId="0" borderId="6" xfId="0" applyBorder="1"/>
    <xf numFmtId="0" fontId="8" fillId="0" borderId="38" xfId="0" applyFont="1" applyBorder="1" applyAlignment="1">
      <alignment horizontal="center" vertical="center"/>
    </xf>
    <xf numFmtId="0" fontId="8" fillId="17" borderId="6" xfId="0" applyFont="1" applyFill="1" applyBorder="1" applyAlignment="1">
      <alignment horizontal="center"/>
    </xf>
    <xf numFmtId="0" fontId="8" fillId="7" borderId="38" xfId="0" applyFont="1" applyFill="1" applyBorder="1" applyAlignment="1">
      <alignment horizontal="center"/>
    </xf>
    <xf numFmtId="168" fontId="8" fillId="19" borderId="38" xfId="0" applyNumberFormat="1" applyFont="1" applyFill="1" applyBorder="1" applyAlignment="1">
      <alignment horizontal="center"/>
    </xf>
    <xf numFmtId="0" fontId="8" fillId="21" borderId="38" xfId="0" applyFont="1" applyFill="1" applyBorder="1" applyAlignment="1">
      <alignment horizontal="center"/>
    </xf>
    <xf numFmtId="168" fontId="8" fillId="18" borderId="6" xfId="0" applyNumberFormat="1" applyFont="1" applyFill="1" applyBorder="1" applyAlignment="1">
      <alignment horizontal="center"/>
    </xf>
    <xf numFmtId="0" fontId="8" fillId="16" borderId="38" xfId="0" applyFont="1" applyFill="1" applyBorder="1" applyAlignment="1">
      <alignment horizontal="center" vertical="center"/>
    </xf>
    <xf numFmtId="0" fontId="8" fillId="20" borderId="38" xfId="0" applyFont="1" applyFill="1" applyBorder="1" applyAlignment="1">
      <alignment horizontal="center"/>
    </xf>
    <xf numFmtId="0" fontId="0" fillId="0" borderId="35" xfId="0" applyBorder="1"/>
    <xf numFmtId="0" fontId="0" fillId="0" borderId="31" xfId="0" applyBorder="1" applyAlignment="1">
      <alignment horizontal="center" vertical="center"/>
    </xf>
    <xf numFmtId="8" fontId="0" fillId="17" borderId="35" xfId="0" applyNumberFormat="1" applyFill="1" applyBorder="1" applyAlignment="1">
      <alignment horizontal="center"/>
    </xf>
    <xf numFmtId="168" fontId="0" fillId="7" borderId="31" xfId="0" applyNumberFormat="1" applyFill="1" applyBorder="1" applyAlignment="1">
      <alignment horizontal="center"/>
    </xf>
    <xf numFmtId="168" fontId="0" fillId="19" borderId="31" xfId="0" applyNumberFormat="1" applyFill="1" applyBorder="1" applyAlignment="1">
      <alignment horizontal="center"/>
    </xf>
    <xf numFmtId="168" fontId="0" fillId="21" borderId="31" xfId="0" applyNumberFormat="1" applyFill="1" applyBorder="1" applyAlignment="1">
      <alignment horizontal="center"/>
    </xf>
    <xf numFmtId="168" fontId="0" fillId="20" borderId="31" xfId="0" applyNumberFormat="1" applyFill="1" applyBorder="1" applyAlignment="1">
      <alignment horizontal="center"/>
    </xf>
    <xf numFmtId="168" fontId="0" fillId="16" borderId="31" xfId="0" applyNumberFormat="1" applyFill="1" applyBorder="1" applyAlignment="1">
      <alignment horizontal="center" vertical="center"/>
    </xf>
    <xf numFmtId="168" fontId="0" fillId="17" borderId="35" xfId="0" applyNumberForma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168" fontId="8" fillId="0" borderId="35" xfId="0" applyNumberFormat="1" applyFont="1" applyBorder="1" applyAlignment="1">
      <alignment horizontal="center"/>
    </xf>
    <xf numFmtId="168" fontId="8" fillId="21" borderId="31" xfId="0" applyNumberFormat="1" applyFont="1" applyFill="1" applyBorder="1" applyAlignment="1">
      <alignment horizontal="center"/>
    </xf>
    <xf numFmtId="0" fontId="0" fillId="6" borderId="40" xfId="0" applyFill="1" applyBorder="1"/>
    <xf numFmtId="0" fontId="0" fillId="6" borderId="39" xfId="0" applyFill="1" applyBorder="1" applyAlignment="1">
      <alignment horizontal="center" vertical="center"/>
    </xf>
    <xf numFmtId="168" fontId="0" fillId="17" borderId="6" xfId="0" applyNumberFormat="1" applyFill="1" applyBorder="1" applyAlignment="1">
      <alignment horizontal="center"/>
    </xf>
    <xf numFmtId="168" fontId="0" fillId="7" borderId="38" xfId="0" applyNumberFormat="1" applyFill="1" applyBorder="1" applyAlignment="1">
      <alignment horizontal="center"/>
    </xf>
    <xf numFmtId="168" fontId="0" fillId="19" borderId="38" xfId="0" applyNumberFormat="1" applyFill="1" applyBorder="1" applyAlignment="1">
      <alignment horizontal="center"/>
    </xf>
    <xf numFmtId="168" fontId="29" fillId="0" borderId="1" xfId="23" applyNumberFormat="1" applyFont="1" applyBorder="1" applyAlignment="1">
      <alignment horizontal="center" wrapText="1"/>
    </xf>
    <xf numFmtId="168" fontId="30" fillId="0" borderId="1" xfId="23" applyNumberFormat="1" applyFont="1" applyBorder="1" applyAlignment="1">
      <alignment horizontal="center"/>
    </xf>
    <xf numFmtId="0" fontId="23" fillId="0" borderId="1" xfId="23" applyFont="1" applyBorder="1"/>
    <xf numFmtId="168" fontId="23" fillId="0" borderId="1" xfId="23" applyNumberFormat="1" applyFont="1" applyBorder="1" applyAlignment="1">
      <alignment horizontal="center"/>
    </xf>
    <xf numFmtId="168" fontId="31" fillId="0" borderId="1" xfId="23" applyNumberFormat="1" applyFont="1" applyBorder="1" applyAlignment="1">
      <alignment horizontal="center"/>
    </xf>
    <xf numFmtId="0" fontId="23" fillId="0" borderId="0" xfId="23" applyFont="1"/>
    <xf numFmtId="0" fontId="32" fillId="11" borderId="1" xfId="23" applyFont="1" applyFill="1" applyBorder="1" applyAlignment="1">
      <alignment vertical="center" wrapText="1"/>
    </xf>
    <xf numFmtId="0" fontId="20" fillId="12" borderId="6" xfId="0" applyFont="1" applyFill="1" applyBorder="1" applyAlignment="1">
      <alignment horizontal="center"/>
    </xf>
    <xf numFmtId="0" fontId="20" fillId="12" borderId="7" xfId="0" applyFont="1" applyFill="1" applyBorder="1" applyAlignment="1">
      <alignment horizontal="center"/>
    </xf>
    <xf numFmtId="0" fontId="20" fillId="12" borderId="8" xfId="0" applyFont="1" applyFill="1" applyBorder="1" applyAlignment="1">
      <alignment horizontal="center"/>
    </xf>
    <xf numFmtId="0" fontId="8" fillId="0" borderId="24" xfId="0" applyFont="1" applyBorder="1" applyAlignment="1">
      <alignment horizontal="center"/>
    </xf>
    <xf numFmtId="8" fontId="0" fillId="18" borderId="35" xfId="0" applyNumberFormat="1" applyFill="1" applyBorder="1" applyAlignment="1">
      <alignment horizontal="center"/>
    </xf>
    <xf numFmtId="168" fontId="0" fillId="20" borderId="1" xfId="0" applyNumberFormat="1" applyFill="1" applyBorder="1" applyAlignment="1">
      <alignment horizontal="center" vertical="center"/>
    </xf>
    <xf numFmtId="168" fontId="0" fillId="20" borderId="1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vertical="center"/>
    </xf>
    <xf numFmtId="168" fontId="8" fillId="0" borderId="42" xfId="0" applyNumberFormat="1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168" fontId="8" fillId="0" borderId="44" xfId="0" applyNumberFormat="1" applyFont="1" applyBorder="1"/>
    <xf numFmtId="168" fontId="8" fillId="0" borderId="37" xfId="0" applyNumberFormat="1" applyFont="1" applyBorder="1"/>
    <xf numFmtId="168" fontId="0" fillId="0" borderId="44" xfId="0" applyNumberFormat="1" applyBorder="1" applyAlignment="1">
      <alignment horizontal="center" vertical="center"/>
    </xf>
    <xf numFmtId="168" fontId="0" fillId="0" borderId="23" xfId="0" applyNumberFormat="1" applyBorder="1"/>
    <xf numFmtId="0" fontId="2" fillId="0" borderId="0" xfId="25" applyFont="1"/>
    <xf numFmtId="0" fontId="16" fillId="8" borderId="45" xfId="25" applyFont="1" applyFill="1" applyBorder="1" applyAlignment="1">
      <alignment wrapText="1"/>
    </xf>
    <xf numFmtId="0" fontId="16" fillId="8" borderId="45" xfId="25" applyFont="1" applyFill="1" applyBorder="1"/>
    <xf numFmtId="0" fontId="16" fillId="0" borderId="25" xfId="25" applyFont="1" applyBorder="1"/>
    <xf numFmtId="0" fontId="24" fillId="0" borderId="25" xfId="25" applyFont="1" applyBorder="1"/>
    <xf numFmtId="0" fontId="16" fillId="0" borderId="0" xfId="25" applyFont="1"/>
    <xf numFmtId="8" fontId="25" fillId="0" borderId="1" xfId="25" applyNumberFormat="1" applyFont="1" applyBorder="1"/>
    <xf numFmtId="0" fontId="25" fillId="0" borderId="1" xfId="25" applyFont="1" applyBorder="1"/>
    <xf numFmtId="169" fontId="0" fillId="0" borderId="1" xfId="26" applyNumberFormat="1" applyFont="1" applyBorder="1" applyAlignment="1">
      <alignment horizontal="center"/>
    </xf>
    <xf numFmtId="169" fontId="0" fillId="0" borderId="0" xfId="26" applyNumberFormat="1" applyFont="1" applyAlignment="1">
      <alignment horizontal="center"/>
    </xf>
    <xf numFmtId="169" fontId="25" fillId="0" borderId="1" xfId="26" applyNumberFormat="1" applyFont="1" applyBorder="1" applyAlignment="1">
      <alignment horizontal="center"/>
    </xf>
    <xf numFmtId="169" fontId="25" fillId="0" borderId="1" xfId="25" applyNumberFormat="1" applyFont="1" applyBorder="1" applyAlignment="1">
      <alignment horizontal="center"/>
    </xf>
    <xf numFmtId="168" fontId="0" fillId="18" borderId="1" xfId="0" applyNumberFormat="1" applyFill="1" applyBorder="1" applyAlignment="1">
      <alignment horizontal="center"/>
    </xf>
    <xf numFmtId="168" fontId="0" fillId="16" borderId="1" xfId="0" applyNumberFormat="1" applyFill="1" applyBorder="1" applyAlignment="1">
      <alignment horizontal="center"/>
    </xf>
    <xf numFmtId="0" fontId="20" fillId="22" borderId="31" xfId="0" applyFont="1" applyFill="1" applyBorder="1" applyAlignment="1">
      <alignment horizontal="center"/>
    </xf>
    <xf numFmtId="0" fontId="20" fillId="22" borderId="37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68" fontId="0" fillId="0" borderId="0" xfId="3" applyNumberFormat="1" applyFont="1"/>
    <xf numFmtId="168" fontId="8" fillId="4" borderId="36" xfId="0" applyNumberFormat="1" applyFont="1" applyFill="1" applyBorder="1"/>
    <xf numFmtId="168" fontId="0" fillId="0" borderId="0" xfId="3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1" applyFont="1" applyFill="1" applyBorder="1" applyAlignment="1">
      <alignment horizontal="center"/>
    </xf>
    <xf numFmtId="165" fontId="0" fillId="0" borderId="0" xfId="0" applyNumberFormat="1"/>
    <xf numFmtId="165" fontId="8" fillId="0" borderId="0" xfId="0" applyNumberFormat="1" applyFont="1"/>
    <xf numFmtId="0" fontId="8" fillId="0" borderId="46" xfId="0" applyFont="1" applyBorder="1"/>
    <xf numFmtId="44" fontId="6" fillId="0" borderId="0" xfId="1" applyNumberFormat="1" applyFont="1" applyFill="1" applyBorder="1"/>
    <xf numFmtId="0" fontId="8" fillId="12" borderId="47" xfId="0" applyFont="1" applyFill="1" applyBorder="1"/>
    <xf numFmtId="168" fontId="8" fillId="12" borderId="48" xfId="0" applyNumberFormat="1" applyFont="1" applyFill="1" applyBorder="1"/>
    <xf numFmtId="0" fontId="8" fillId="12" borderId="49" xfId="0" applyFont="1" applyFill="1" applyBorder="1"/>
    <xf numFmtId="168" fontId="8" fillId="12" borderId="50" xfId="0" applyNumberFormat="1" applyFont="1" applyFill="1" applyBorder="1"/>
    <xf numFmtId="168" fontId="30" fillId="12" borderId="1" xfId="23" applyNumberFormat="1" applyFont="1" applyFill="1" applyBorder="1" applyAlignment="1">
      <alignment horizontal="center"/>
    </xf>
    <xf numFmtId="0" fontId="3" fillId="12" borderId="0" xfId="23" applyFont="1" applyFill="1"/>
    <xf numFmtId="0" fontId="0" fillId="0" borderId="14" xfId="0" applyBorder="1" applyAlignment="1">
      <alignment horizontal="center" vertical="center"/>
    </xf>
    <xf numFmtId="168" fontId="8" fillId="12" borderId="51" xfId="0" applyNumberFormat="1" applyFont="1" applyFill="1" applyBorder="1"/>
    <xf numFmtId="168" fontId="21" fillId="0" borderId="0" xfId="0" applyNumberFormat="1" applyFont="1"/>
    <xf numFmtId="168" fontId="0" fillId="18" borderId="35" xfId="0" applyNumberFormat="1" applyFill="1" applyBorder="1" applyAlignment="1">
      <alignment horizontal="center"/>
    </xf>
    <xf numFmtId="168" fontId="0" fillId="16" borderId="30" xfId="0" applyNumberFormat="1" applyFill="1" applyBorder="1" applyAlignment="1">
      <alignment horizontal="center"/>
    </xf>
    <xf numFmtId="168" fontId="0" fillId="20" borderId="31" xfId="0" applyNumberFormat="1" applyFill="1" applyBorder="1" applyAlignment="1">
      <alignment horizontal="center" vertical="center"/>
    </xf>
    <xf numFmtId="170" fontId="0" fillId="0" borderId="0" xfId="0" applyNumberFormat="1"/>
    <xf numFmtId="170" fontId="0" fillId="0" borderId="0" xfId="0" applyNumberFormat="1" applyAlignment="1">
      <alignment horizontal="center" vertical="center"/>
    </xf>
    <xf numFmtId="171" fontId="0" fillId="17" borderId="35" xfId="0" applyNumberFormat="1" applyFill="1" applyBorder="1" applyAlignment="1">
      <alignment horizontal="center"/>
    </xf>
    <xf numFmtId="171" fontId="0" fillId="7" borderId="31" xfId="0" applyNumberFormat="1" applyFill="1" applyBorder="1" applyAlignment="1">
      <alignment horizontal="center"/>
    </xf>
    <xf numFmtId="171" fontId="0" fillId="19" borderId="31" xfId="0" applyNumberFormat="1" applyFill="1" applyBorder="1" applyAlignment="1">
      <alignment horizontal="center"/>
    </xf>
    <xf numFmtId="171" fontId="0" fillId="21" borderId="31" xfId="0" applyNumberFormat="1" applyFill="1" applyBorder="1" applyAlignment="1">
      <alignment horizontal="center"/>
    </xf>
    <xf numFmtId="171" fontId="0" fillId="18" borderId="35" xfId="0" applyNumberFormat="1" applyFill="1" applyBorder="1" applyAlignment="1">
      <alignment horizontal="center"/>
    </xf>
    <xf numFmtId="171" fontId="0" fillId="16" borderId="31" xfId="0" applyNumberFormat="1" applyFill="1" applyBorder="1" applyAlignment="1">
      <alignment horizontal="center" vertical="center"/>
    </xf>
    <xf numFmtId="171" fontId="0" fillId="20" borderId="31" xfId="0" applyNumberFormat="1" applyFill="1" applyBorder="1" applyAlignment="1">
      <alignment horizontal="center"/>
    </xf>
    <xf numFmtId="171" fontId="8" fillId="21" borderId="31" xfId="0" applyNumberFormat="1" applyFont="1" applyFill="1" applyBorder="1" applyAlignment="1">
      <alignment horizontal="center"/>
    </xf>
    <xf numFmtId="171" fontId="8" fillId="0" borderId="35" xfId="0" applyNumberFormat="1" applyFont="1" applyBorder="1" applyAlignment="1">
      <alignment horizontal="center"/>
    </xf>
    <xf numFmtId="171" fontId="0" fillId="17" borderId="6" xfId="0" applyNumberFormat="1" applyFill="1" applyBorder="1" applyAlignment="1">
      <alignment horizontal="center"/>
    </xf>
    <xf numFmtId="171" fontId="0" fillId="7" borderId="38" xfId="0" applyNumberFormat="1" applyFill="1" applyBorder="1" applyAlignment="1">
      <alignment horizontal="center"/>
    </xf>
    <xf numFmtId="171" fontId="0" fillId="19" borderId="38" xfId="0" applyNumberFormat="1" applyFill="1" applyBorder="1" applyAlignment="1">
      <alignment horizontal="center"/>
    </xf>
    <xf numFmtId="171" fontId="0" fillId="18" borderId="1" xfId="0" applyNumberFormat="1" applyFill="1" applyBorder="1" applyAlignment="1">
      <alignment horizontal="center"/>
    </xf>
    <xf numFmtId="171" fontId="0" fillId="16" borderId="1" xfId="0" applyNumberFormat="1" applyFill="1" applyBorder="1" applyAlignment="1">
      <alignment horizontal="center"/>
    </xf>
    <xf numFmtId="171" fontId="0" fillId="20" borderId="1" xfId="0" applyNumberFormat="1" applyFill="1" applyBorder="1" applyAlignment="1">
      <alignment horizontal="center" vertical="center"/>
    </xf>
    <xf numFmtId="171" fontId="0" fillId="20" borderId="1" xfId="0" applyNumberFormat="1" applyFill="1" applyBorder="1" applyAlignment="1">
      <alignment horizontal="center"/>
    </xf>
    <xf numFmtId="171" fontId="0" fillId="16" borderId="30" xfId="0" applyNumberFormat="1" applyFill="1" applyBorder="1" applyAlignment="1">
      <alignment horizontal="center"/>
    </xf>
    <xf numFmtId="171" fontId="0" fillId="20" borderId="31" xfId="0" applyNumberFormat="1" applyFill="1" applyBorder="1" applyAlignment="1">
      <alignment horizontal="center" vertical="center"/>
    </xf>
    <xf numFmtId="171" fontId="8" fillId="12" borderId="50" xfId="0" applyNumberFormat="1" applyFont="1" applyFill="1" applyBorder="1"/>
    <xf numFmtId="171" fontId="8" fillId="12" borderId="48" xfId="0" applyNumberFormat="1" applyFont="1" applyFill="1" applyBorder="1"/>
    <xf numFmtId="171" fontId="0" fillId="0" borderId="0" xfId="0" applyNumberFormat="1"/>
    <xf numFmtId="171" fontId="0" fillId="0" borderId="0" xfId="0" applyNumberFormat="1" applyAlignment="1">
      <alignment horizontal="center" vertical="center"/>
    </xf>
    <xf numFmtId="171" fontId="0" fillId="0" borderId="33" xfId="0" applyNumberFormat="1" applyBorder="1"/>
    <xf numFmtId="171" fontId="0" fillId="0" borderId="34" xfId="0" applyNumberFormat="1" applyBorder="1"/>
    <xf numFmtId="171" fontId="8" fillId="0" borderId="44" xfId="0" applyNumberFormat="1" applyFont="1" applyBorder="1"/>
    <xf numFmtId="171" fontId="8" fillId="0" borderId="37" xfId="0" applyNumberFormat="1" applyFont="1" applyBorder="1"/>
    <xf numFmtId="171" fontId="0" fillId="0" borderId="5" xfId="0" applyNumberFormat="1" applyBorder="1"/>
    <xf numFmtId="171" fontId="0" fillId="0" borderId="44" xfId="0" applyNumberFormat="1" applyBorder="1" applyAlignment="1">
      <alignment horizontal="center" vertical="center"/>
    </xf>
    <xf numFmtId="165" fontId="0" fillId="0" borderId="52" xfId="0" applyNumberFormat="1" applyBorder="1"/>
    <xf numFmtId="165" fontId="0" fillId="0" borderId="13" xfId="0" applyNumberFormat="1" applyBorder="1"/>
    <xf numFmtId="0" fontId="8" fillId="0" borderId="1" xfId="0" applyFont="1" applyBorder="1"/>
    <xf numFmtId="165" fontId="0" fillId="0" borderId="31" xfId="0" applyNumberFormat="1" applyBorder="1"/>
    <xf numFmtId="166" fontId="6" fillId="0" borderId="30" xfId="2" applyNumberFormat="1" applyFont="1" applyBorder="1" applyAlignment="1">
      <alignment horizontal="right"/>
    </xf>
    <xf numFmtId="0" fontId="16" fillId="8" borderId="28" xfId="25" applyFont="1" applyFill="1" applyBorder="1"/>
    <xf numFmtId="0" fontId="16" fillId="8" borderId="45" xfId="25" applyFont="1" applyFill="1" applyBorder="1" applyAlignment="1">
      <alignment vertical="center"/>
    </xf>
    <xf numFmtId="0" fontId="16" fillId="8" borderId="45" xfId="25" applyFont="1" applyFill="1" applyBorder="1" applyAlignment="1">
      <alignment vertical="center" wrapText="1"/>
    </xf>
    <xf numFmtId="0" fontId="16" fillId="8" borderId="28" xfId="25" applyFont="1" applyFill="1" applyBorder="1" applyAlignment="1">
      <alignment vertical="center"/>
    </xf>
    <xf numFmtId="165" fontId="8" fillId="0" borderId="1" xfId="0" applyNumberFormat="1" applyFont="1" applyBorder="1"/>
    <xf numFmtId="165" fontId="8" fillId="0" borderId="2" xfId="0" applyNumberFormat="1" applyFont="1" applyBorder="1"/>
    <xf numFmtId="166" fontId="8" fillId="0" borderId="3" xfId="2" applyNumberFormat="1" applyFont="1" applyBorder="1" applyAlignment="1">
      <alignment horizontal="right"/>
    </xf>
    <xf numFmtId="165" fontId="8" fillId="0" borderId="27" xfId="0" applyNumberFormat="1" applyFont="1" applyBorder="1"/>
    <xf numFmtId="165" fontId="8" fillId="0" borderId="21" xfId="0" applyNumberFormat="1" applyFont="1" applyBorder="1"/>
    <xf numFmtId="166" fontId="8" fillId="0" borderId="22" xfId="2" applyNumberFormat="1" applyFont="1" applyBorder="1" applyAlignment="1">
      <alignment horizontal="right"/>
    </xf>
    <xf numFmtId="44" fontId="8" fillId="2" borderId="28" xfId="1" applyNumberFormat="1" applyFont="1" applyBorder="1"/>
    <xf numFmtId="165" fontId="8" fillId="0" borderId="28" xfId="0" applyNumberFormat="1" applyFont="1" applyBorder="1"/>
    <xf numFmtId="165" fontId="8" fillId="2" borderId="21" xfId="1" applyNumberFormat="1" applyFont="1" applyBorder="1"/>
    <xf numFmtId="165" fontId="8" fillId="2" borderId="28" xfId="1" applyNumberFormat="1" applyFont="1" applyBorder="1"/>
    <xf numFmtId="0" fontId="20" fillId="0" borderId="0" xfId="0" applyFont="1" applyAlignment="1">
      <alignment horizontal="center"/>
    </xf>
    <xf numFmtId="168" fontId="20" fillId="0" borderId="0" xfId="3" applyNumberFormat="1" applyFont="1" applyAlignment="1">
      <alignment horizontal="center"/>
    </xf>
    <xf numFmtId="9" fontId="20" fillId="0" borderId="0" xfId="2" applyFont="1" applyAlignment="1">
      <alignment horizontal="left"/>
    </xf>
    <xf numFmtId="0" fontId="20" fillId="0" borderId="0" xfId="0" applyFont="1" applyAlignment="1">
      <alignment horizontal="left"/>
    </xf>
    <xf numFmtId="0" fontId="34" fillId="0" borderId="0" xfId="0" applyFont="1"/>
    <xf numFmtId="0" fontId="35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4" xfId="1" applyAlignment="1">
      <alignment horizontal="left"/>
    </xf>
    <xf numFmtId="9" fontId="0" fillId="0" borderId="1" xfId="2" applyFont="1" applyBorder="1"/>
    <xf numFmtId="9" fontId="0" fillId="0" borderId="53" xfId="2" applyFont="1" applyBorder="1"/>
    <xf numFmtId="0" fontId="8" fillId="26" borderId="1" xfId="0" applyFont="1" applyFill="1" applyBorder="1" applyAlignment="1">
      <alignment horizontal="center"/>
    </xf>
    <xf numFmtId="9" fontId="8" fillId="0" borderId="25" xfId="2" applyFont="1" applyBorder="1"/>
    <xf numFmtId="168" fontId="0" fillId="0" borderId="53" xfId="0" applyNumberFormat="1" applyBorder="1"/>
    <xf numFmtId="0" fontId="0" fillId="0" borderId="52" xfId="0" applyBorder="1"/>
    <xf numFmtId="168" fontId="6" fillId="0" borderId="0" xfId="1" applyNumberFormat="1" applyFont="1" applyFill="1" applyBorder="1"/>
    <xf numFmtId="172" fontId="0" fillId="0" borderId="0" xfId="0" applyNumberFormat="1"/>
    <xf numFmtId="0" fontId="0" fillId="0" borderId="12" xfId="0" applyBorder="1"/>
    <xf numFmtId="168" fontId="0" fillId="0" borderId="10" xfId="0" applyNumberFormat="1" applyBorder="1" applyAlignment="1">
      <alignment horizontal="center" vertical="center"/>
    </xf>
    <xf numFmtId="168" fontId="0" fillId="0" borderId="15" xfId="0" applyNumberFormat="1" applyBorder="1"/>
    <xf numFmtId="170" fontId="0" fillId="0" borderId="10" xfId="0" applyNumberFormat="1" applyBorder="1" applyAlignment="1">
      <alignment horizontal="center" vertical="center"/>
    </xf>
    <xf numFmtId="171" fontId="0" fillId="0" borderId="15" xfId="0" applyNumberFormat="1" applyBorder="1"/>
    <xf numFmtId="8" fontId="0" fillId="0" borderId="0" xfId="0" applyNumberFormat="1" applyAlignment="1">
      <alignment horizontal="center"/>
    </xf>
    <xf numFmtId="0" fontId="8" fillId="0" borderId="25" xfId="0" applyFont="1" applyBorder="1"/>
    <xf numFmtId="0" fontId="20" fillId="26" borderId="1" xfId="0" applyFont="1" applyFill="1" applyBorder="1"/>
    <xf numFmtId="0" fontId="0" fillId="0" borderId="0" xfId="0" applyAlignment="1">
      <alignment horizontal="left" indent="1"/>
    </xf>
    <xf numFmtId="168" fontId="20" fillId="0" borderId="0" xfId="0" applyNumberFormat="1" applyFont="1" applyAlignment="1">
      <alignment horizontal="center"/>
    </xf>
    <xf numFmtId="168" fontId="8" fillId="0" borderId="0" xfId="0" applyNumberFormat="1" applyFont="1" applyAlignment="1">
      <alignment horizontal="center"/>
    </xf>
    <xf numFmtId="168" fontId="6" fillId="0" borderId="0" xfId="3" applyNumberFormat="1" applyFont="1"/>
    <xf numFmtId="0" fontId="0" fillId="0" borderId="60" xfId="0" applyBorder="1"/>
    <xf numFmtId="0" fontId="13" fillId="0" borderId="60" xfId="0" applyFont="1" applyBorder="1" applyAlignment="1">
      <alignment horizontal="center"/>
    </xf>
    <xf numFmtId="168" fontId="13" fillId="0" borderId="60" xfId="3" applyNumberFormat="1" applyFont="1" applyBorder="1" applyAlignment="1">
      <alignment horizontal="center"/>
    </xf>
    <xf numFmtId="0" fontId="8" fillId="0" borderId="60" xfId="1" applyFont="1" applyFill="1" applyBorder="1" applyAlignment="1">
      <alignment horizontal="center"/>
    </xf>
    <xf numFmtId="168" fontId="0" fillId="0" borderId="60" xfId="3" applyNumberFormat="1" applyFont="1" applyBorder="1"/>
    <xf numFmtId="168" fontId="13" fillId="0" borderId="60" xfId="0" applyNumberFormat="1" applyFont="1" applyBorder="1" applyAlignment="1">
      <alignment horizontal="center"/>
    </xf>
    <xf numFmtId="168" fontId="0" fillId="0" borderId="60" xfId="0" applyNumberFormat="1" applyBorder="1"/>
    <xf numFmtId="9" fontId="0" fillId="0" borderId="60" xfId="2" applyFont="1" applyBorder="1"/>
    <xf numFmtId="0" fontId="6" fillId="0" borderId="60" xfId="0" applyFont="1" applyBorder="1" applyAlignment="1">
      <alignment horizontal="center"/>
    </xf>
    <xf numFmtId="0" fontId="6" fillId="0" borderId="60" xfId="1" applyFont="1" applyFill="1" applyBorder="1" applyAlignment="1">
      <alignment horizontal="center"/>
    </xf>
    <xf numFmtId="168" fontId="6" fillId="0" borderId="60" xfId="1" applyNumberFormat="1" applyFont="1" applyFill="1" applyBorder="1"/>
    <xf numFmtId="168" fontId="6" fillId="0" borderId="60" xfId="3" applyNumberFormat="1" applyFont="1" applyBorder="1"/>
    <xf numFmtId="0" fontId="0" fillId="0" borderId="60" xfId="0" applyBorder="1" applyAlignment="1">
      <alignment horizontal="center"/>
    </xf>
    <xf numFmtId="168" fontId="0" fillId="0" borderId="13" xfId="0" applyNumberFormat="1" applyBorder="1"/>
    <xf numFmtId="0" fontId="9" fillId="2" borderId="59" xfId="1" applyBorder="1" applyAlignment="1">
      <alignment horizontal="left"/>
    </xf>
    <xf numFmtId="168" fontId="8" fillId="0" borderId="0" xfId="27" applyNumberFormat="1" applyFont="1" applyFill="1" applyAlignment="1">
      <alignment horizontal="center"/>
    </xf>
    <xf numFmtId="9" fontId="8" fillId="0" borderId="0" xfId="27" applyNumberFormat="1" applyFont="1" applyFill="1" applyAlignment="1">
      <alignment horizontal="center"/>
    </xf>
    <xf numFmtId="168" fontId="8" fillId="12" borderId="61" xfId="0" applyNumberFormat="1" applyFont="1" applyFill="1" applyBorder="1"/>
    <xf numFmtId="0" fontId="0" fillId="12" borderId="12" xfId="0" applyFill="1" applyBorder="1"/>
    <xf numFmtId="0" fontId="8" fillId="12" borderId="13" xfId="0" applyFont="1" applyFill="1" applyBorder="1" applyAlignment="1">
      <alignment horizontal="center" vertical="center"/>
    </xf>
    <xf numFmtId="168" fontId="8" fillId="12" borderId="15" xfId="0" applyNumberFormat="1" applyFont="1" applyFill="1" applyBorder="1"/>
    <xf numFmtId="0" fontId="11" fillId="24" borderId="6" xfId="0" applyFont="1" applyFill="1" applyBorder="1"/>
    <xf numFmtId="0" fontId="11" fillId="24" borderId="7" xfId="0" applyFont="1" applyFill="1" applyBorder="1" applyAlignment="1">
      <alignment horizontal="center" vertical="center"/>
    </xf>
    <xf numFmtId="168" fontId="8" fillId="21" borderId="62" xfId="0" applyNumberFormat="1" applyFont="1" applyFill="1" applyBorder="1" applyAlignment="1">
      <alignment horizontal="center"/>
    </xf>
    <xf numFmtId="168" fontId="8" fillId="21" borderId="37" xfId="0" applyNumberFormat="1" applyFont="1" applyFill="1" applyBorder="1" applyAlignment="1">
      <alignment horizontal="center"/>
    </xf>
    <xf numFmtId="0" fontId="0" fillId="8" borderId="40" xfId="0" applyFill="1" applyBorder="1"/>
    <xf numFmtId="168" fontId="8" fillId="8" borderId="63" xfId="0" applyNumberFormat="1" applyFont="1" applyFill="1" applyBorder="1" applyAlignment="1">
      <alignment horizontal="center"/>
    </xf>
    <xf numFmtId="168" fontId="0" fillId="21" borderId="37" xfId="0" applyNumberFormat="1" applyFill="1" applyBorder="1" applyAlignment="1">
      <alignment horizontal="center"/>
    </xf>
    <xf numFmtId="0" fontId="0" fillId="0" borderId="64" xfId="0" applyBorder="1"/>
    <xf numFmtId="0" fontId="0" fillId="0" borderId="65" xfId="0" applyBorder="1" applyAlignment="1">
      <alignment horizontal="center" vertical="center"/>
    </xf>
    <xf numFmtId="168" fontId="0" fillId="17" borderId="64" xfId="0" applyNumberFormat="1" applyFill="1" applyBorder="1" applyAlignment="1">
      <alignment horizontal="center"/>
    </xf>
    <xf numFmtId="168" fontId="8" fillId="7" borderId="65" xfId="0" applyNumberFormat="1" applyFont="1" applyFill="1" applyBorder="1" applyAlignment="1">
      <alignment horizontal="center"/>
    </xf>
    <xf numFmtId="168" fontId="8" fillId="19" borderId="65" xfId="0" applyNumberFormat="1" applyFont="1" applyFill="1" applyBorder="1" applyAlignment="1">
      <alignment horizontal="center"/>
    </xf>
    <xf numFmtId="168" fontId="8" fillId="21" borderId="65" xfId="0" applyNumberFormat="1" applyFont="1" applyFill="1" applyBorder="1" applyAlignment="1">
      <alignment horizontal="center"/>
    </xf>
    <xf numFmtId="168" fontId="8" fillId="18" borderId="66" xfId="0" applyNumberFormat="1" applyFont="1" applyFill="1" applyBorder="1" applyAlignment="1">
      <alignment horizontal="center"/>
    </xf>
    <xf numFmtId="168" fontId="8" fillId="16" borderId="66" xfId="0" applyNumberFormat="1" applyFont="1" applyFill="1" applyBorder="1" applyAlignment="1">
      <alignment horizontal="center"/>
    </xf>
    <xf numFmtId="168" fontId="8" fillId="20" borderId="66" xfId="0" applyNumberFormat="1" applyFont="1" applyFill="1" applyBorder="1" applyAlignment="1">
      <alignment horizontal="center" vertical="center"/>
    </xf>
    <xf numFmtId="168" fontId="8" fillId="20" borderId="66" xfId="0" applyNumberFormat="1" applyFont="1" applyFill="1" applyBorder="1" applyAlignment="1">
      <alignment horizontal="center"/>
    </xf>
    <xf numFmtId="168" fontId="8" fillId="21" borderId="67" xfId="0" applyNumberFormat="1" applyFont="1" applyFill="1" applyBorder="1" applyAlignment="1">
      <alignment horizontal="center"/>
    </xf>
    <xf numFmtId="0" fontId="0" fillId="0" borderId="68" xfId="0" applyBorder="1"/>
    <xf numFmtId="0" fontId="0" fillId="0" borderId="69" xfId="0" applyBorder="1"/>
    <xf numFmtId="0" fontId="8" fillId="0" borderId="65" xfId="0" applyFont="1" applyBorder="1" applyAlignment="1">
      <alignment horizontal="center" vertical="center"/>
    </xf>
    <xf numFmtId="168" fontId="8" fillId="4" borderId="46" xfId="0" applyNumberFormat="1" applyFont="1" applyFill="1" applyBorder="1"/>
    <xf numFmtId="0" fontId="8" fillId="0" borderId="7" xfId="0" applyFont="1" applyBorder="1"/>
    <xf numFmtId="0" fontId="0" fillId="0" borderId="42" xfId="0" applyBorder="1"/>
    <xf numFmtId="0" fontId="0" fillId="0" borderId="10" xfId="0" applyBorder="1"/>
    <xf numFmtId="0" fontId="0" fillId="0" borderId="44" xfId="0" applyBorder="1"/>
    <xf numFmtId="168" fontId="0" fillId="0" borderId="10" xfId="0" applyNumberFormat="1" applyBorder="1"/>
    <xf numFmtId="168" fontId="0" fillId="0" borderId="72" xfId="0" applyNumberFormat="1" applyBorder="1" applyAlignment="1">
      <alignment horizontal="center" vertical="center"/>
    </xf>
    <xf numFmtId="168" fontId="0" fillId="0" borderId="67" xfId="0" applyNumberFormat="1" applyBorder="1"/>
    <xf numFmtId="168" fontId="0" fillId="0" borderId="73" xfId="0" applyNumberFormat="1" applyBorder="1"/>
    <xf numFmtId="171" fontId="8" fillId="12" borderId="15" xfId="0" applyNumberFormat="1" applyFont="1" applyFill="1" applyBorder="1"/>
    <xf numFmtId="171" fontId="8" fillId="21" borderId="37" xfId="0" applyNumberFormat="1" applyFont="1" applyFill="1" applyBorder="1" applyAlignment="1">
      <alignment horizontal="center"/>
    </xf>
    <xf numFmtId="171" fontId="0" fillId="21" borderId="37" xfId="0" applyNumberFormat="1" applyFill="1" applyBorder="1" applyAlignment="1">
      <alignment horizontal="center"/>
    </xf>
    <xf numFmtId="171" fontId="0" fillId="17" borderId="64" xfId="0" applyNumberFormat="1" applyFill="1" applyBorder="1" applyAlignment="1">
      <alignment horizontal="center"/>
    </xf>
    <xf numFmtId="171" fontId="8" fillId="7" borderId="65" xfId="0" applyNumberFormat="1" applyFont="1" applyFill="1" applyBorder="1" applyAlignment="1">
      <alignment horizontal="center"/>
    </xf>
    <xf numFmtId="171" fontId="8" fillId="19" borderId="65" xfId="0" applyNumberFormat="1" applyFont="1" applyFill="1" applyBorder="1" applyAlignment="1">
      <alignment horizontal="center"/>
    </xf>
    <xf numFmtId="171" fontId="8" fillId="21" borderId="65" xfId="0" applyNumberFormat="1" applyFont="1" applyFill="1" applyBorder="1" applyAlignment="1">
      <alignment horizontal="center"/>
    </xf>
    <xf numFmtId="171" fontId="8" fillId="18" borderId="66" xfId="0" applyNumberFormat="1" applyFont="1" applyFill="1" applyBorder="1" applyAlignment="1">
      <alignment horizontal="center"/>
    </xf>
    <xf numFmtId="171" fontId="8" fillId="16" borderId="66" xfId="0" applyNumberFormat="1" applyFont="1" applyFill="1" applyBorder="1" applyAlignment="1">
      <alignment horizontal="center"/>
    </xf>
    <xf numFmtId="171" fontId="8" fillId="20" borderId="66" xfId="0" applyNumberFormat="1" applyFont="1" applyFill="1" applyBorder="1" applyAlignment="1">
      <alignment horizontal="center" vertical="center"/>
    </xf>
    <xf numFmtId="171" fontId="8" fillId="20" borderId="66" xfId="0" applyNumberFormat="1" applyFont="1" applyFill="1" applyBorder="1" applyAlignment="1">
      <alignment horizontal="center"/>
    </xf>
    <xf numFmtId="171" fontId="8" fillId="21" borderId="67" xfId="0" applyNumberFormat="1" applyFont="1" applyFill="1" applyBorder="1" applyAlignment="1">
      <alignment horizontal="center"/>
    </xf>
    <xf numFmtId="171" fontId="0" fillId="0" borderId="10" xfId="0" applyNumberFormat="1" applyBorder="1" applyAlignment="1">
      <alignment horizontal="center" vertical="center"/>
    </xf>
    <xf numFmtId="171" fontId="8" fillId="0" borderId="15" xfId="3" applyNumberFormat="1" applyFont="1" applyBorder="1" applyAlignment="1">
      <alignment horizontal="center" vertical="center"/>
    </xf>
    <xf numFmtId="171" fontId="8" fillId="4" borderId="46" xfId="0" applyNumberFormat="1" applyFont="1" applyFill="1" applyBorder="1"/>
    <xf numFmtId="170" fontId="0" fillId="0" borderId="12" xfId="0" applyNumberFormat="1" applyBorder="1"/>
    <xf numFmtId="170" fontId="0" fillId="0" borderId="72" xfId="0" applyNumberFormat="1" applyBorder="1" applyAlignment="1">
      <alignment horizontal="center" vertical="center"/>
    </xf>
    <xf numFmtId="170" fontId="0" fillId="0" borderId="67" xfId="0" applyNumberFormat="1" applyBorder="1"/>
    <xf numFmtId="170" fontId="0" fillId="0" borderId="73" xfId="0" applyNumberFormat="1" applyBorder="1"/>
    <xf numFmtId="170" fontId="0" fillId="0" borderId="13" xfId="0" applyNumberFormat="1" applyBorder="1"/>
    <xf numFmtId="4" fontId="0" fillId="0" borderId="1" xfId="0" applyNumberFormat="1" applyBorder="1"/>
    <xf numFmtId="4" fontId="8" fillId="0" borderId="25" xfId="0" applyNumberFormat="1" applyFont="1" applyBorder="1"/>
    <xf numFmtId="168" fontId="37" fillId="29" borderId="0" xfId="0" applyNumberFormat="1" applyFont="1" applyFill="1"/>
    <xf numFmtId="9" fontId="37" fillId="29" borderId="0" xfId="2" applyFont="1" applyFill="1"/>
    <xf numFmtId="168" fontId="37" fillId="31" borderId="0" xfId="0" applyNumberFormat="1" applyFont="1" applyFill="1"/>
    <xf numFmtId="9" fontId="37" fillId="31" borderId="0" xfId="2" applyFont="1" applyFill="1"/>
    <xf numFmtId="8" fontId="0" fillId="0" borderId="0" xfId="0" applyNumberFormat="1" applyAlignment="1">
      <alignment horizontal="center" vertical="center"/>
    </xf>
    <xf numFmtId="0" fontId="0" fillId="0" borderId="74" xfId="0" applyBorder="1"/>
    <xf numFmtId="0" fontId="0" fillId="0" borderId="75" xfId="0" applyBorder="1" applyAlignment="1">
      <alignment horizontal="center" vertical="center"/>
    </xf>
    <xf numFmtId="8" fontId="0" fillId="0" borderId="75" xfId="0" applyNumberFormat="1" applyBorder="1" applyAlignment="1">
      <alignment horizontal="center" vertical="center"/>
    </xf>
    <xf numFmtId="8" fontId="0" fillId="0" borderId="76" xfId="0" applyNumberFormat="1" applyBorder="1" applyAlignment="1">
      <alignment horizontal="center" vertical="center"/>
    </xf>
    <xf numFmtId="0" fontId="0" fillId="0" borderId="77" xfId="0" applyBorder="1"/>
    <xf numFmtId="8" fontId="0" fillId="0" borderId="78" xfId="0" applyNumberFormat="1" applyBorder="1" applyAlignment="1">
      <alignment horizontal="center" vertical="center"/>
    </xf>
    <xf numFmtId="0" fontId="0" fillId="0" borderId="79" xfId="0" applyBorder="1"/>
    <xf numFmtId="0" fontId="8" fillId="0" borderId="80" xfId="0" applyFont="1" applyBorder="1" applyAlignment="1">
      <alignment horizontal="center" vertical="center"/>
    </xf>
    <xf numFmtId="168" fontId="8" fillId="0" borderId="80" xfId="3" applyNumberFormat="1" applyFont="1" applyBorder="1" applyAlignment="1">
      <alignment horizontal="center" vertical="center"/>
    </xf>
    <xf numFmtId="168" fontId="8" fillId="0" borderId="81" xfId="3" applyNumberFormat="1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1" fillId="32" borderId="1" xfId="0" applyFont="1" applyFill="1" applyBorder="1"/>
    <xf numFmtId="0" fontId="11" fillId="33" borderId="1" xfId="0" applyFont="1" applyFill="1" applyBorder="1"/>
    <xf numFmtId="0" fontId="0" fillId="8" borderId="0" xfId="0" applyFill="1"/>
    <xf numFmtId="0" fontId="1" fillId="0" borderId="1" xfId="19" applyFont="1" applyBorder="1"/>
    <xf numFmtId="0" fontId="1" fillId="0" borderId="1" xfId="19" applyFont="1" applyBorder="1" applyAlignment="1">
      <alignment wrapText="1"/>
    </xf>
    <xf numFmtId="0" fontId="8" fillId="0" borderId="56" xfId="0" applyFont="1" applyBorder="1"/>
    <xf numFmtId="0" fontId="11" fillId="34" borderId="1" xfId="0" applyFont="1" applyFill="1" applyBorder="1"/>
    <xf numFmtId="44" fontId="0" fillId="0" borderId="1" xfId="0" applyNumberFormat="1" applyBorder="1"/>
    <xf numFmtId="44" fontId="0" fillId="0" borderId="53" xfId="0" applyNumberFormat="1" applyBorder="1"/>
    <xf numFmtId="44" fontId="8" fillId="0" borderId="56" xfId="0" applyNumberFormat="1" applyFont="1" applyBorder="1"/>
    <xf numFmtId="44" fontId="8" fillId="0" borderId="25" xfId="0" applyNumberFormat="1" applyFont="1" applyBorder="1"/>
    <xf numFmtId="44" fontId="0" fillId="0" borderId="52" xfId="0" applyNumberFormat="1" applyBorder="1"/>
    <xf numFmtId="0" fontId="11" fillId="0" borderId="0" xfId="0" applyFont="1" applyAlignment="1">
      <alignment horizontal="left"/>
    </xf>
    <xf numFmtId="0" fontId="0" fillId="0" borderId="19" xfId="0" applyBorder="1"/>
    <xf numFmtId="168" fontId="0" fillId="0" borderId="23" xfId="0" applyNumberFormat="1" applyBorder="1" applyAlignment="1">
      <alignment horizontal="center" vertical="center"/>
    </xf>
    <xf numFmtId="0" fontId="0" fillId="0" borderId="14" xfId="0" applyBorder="1"/>
    <xf numFmtId="168" fontId="8" fillId="0" borderId="82" xfId="0" applyNumberFormat="1" applyFont="1" applyBorder="1"/>
    <xf numFmtId="0" fontId="0" fillId="0" borderId="30" xfId="0" applyBorder="1"/>
    <xf numFmtId="168" fontId="0" fillId="0" borderId="0" xfId="28" applyNumberFormat="1" applyFont="1"/>
    <xf numFmtId="0" fontId="0" fillId="0" borderId="83" xfId="0" applyBorder="1"/>
    <xf numFmtId="168" fontId="8" fillId="4" borderId="84" xfId="0" applyNumberFormat="1" applyFont="1" applyFill="1" applyBorder="1"/>
    <xf numFmtId="168" fontId="8" fillId="0" borderId="0" xfId="28" applyNumberFormat="1" applyFont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168" fontId="22" fillId="0" borderId="0" xfId="29" applyNumberFormat="1" applyFont="1"/>
    <xf numFmtId="168" fontId="8" fillId="12" borderId="23" xfId="0" applyNumberFormat="1" applyFont="1" applyFill="1" applyBorder="1"/>
    <xf numFmtId="0" fontId="8" fillId="12" borderId="18" xfId="0" applyFont="1" applyFill="1" applyBorder="1" applyAlignment="1">
      <alignment horizontal="center" vertical="center"/>
    </xf>
    <xf numFmtId="0" fontId="0" fillId="12" borderId="19" xfId="0" applyFill="1" applyBorder="1"/>
    <xf numFmtId="168" fontId="8" fillId="20" borderId="1" xfId="0" applyNumberFormat="1" applyFont="1" applyFill="1" applyBorder="1" applyAlignment="1">
      <alignment horizontal="center"/>
    </xf>
    <xf numFmtId="168" fontId="8" fillId="20" borderId="1" xfId="0" applyNumberFormat="1" applyFont="1" applyFill="1" applyBorder="1" applyAlignment="1">
      <alignment horizontal="center" vertical="center"/>
    </xf>
    <xf numFmtId="168" fontId="8" fillId="16" borderId="1" xfId="0" applyNumberFormat="1" applyFont="1" applyFill="1" applyBorder="1" applyAlignment="1">
      <alignment horizontal="center"/>
    </xf>
    <xf numFmtId="168" fontId="8" fillId="18" borderId="1" xfId="0" applyNumberFormat="1" applyFont="1" applyFill="1" applyBorder="1" applyAlignment="1">
      <alignment horizontal="center"/>
    </xf>
    <xf numFmtId="168" fontId="8" fillId="19" borderId="31" xfId="0" applyNumberFormat="1" applyFont="1" applyFill="1" applyBorder="1" applyAlignment="1">
      <alignment horizontal="center"/>
    </xf>
    <xf numFmtId="168" fontId="8" fillId="7" borderId="31" xfId="0" applyNumberFormat="1" applyFont="1" applyFill="1" applyBorder="1" applyAlignment="1">
      <alignment horizontal="center"/>
    </xf>
    <xf numFmtId="168" fontId="8" fillId="8" borderId="39" xfId="0" applyNumberFormat="1" applyFont="1" applyFill="1" applyBorder="1" applyAlignment="1">
      <alignment horizontal="center"/>
    </xf>
    <xf numFmtId="0" fontId="0" fillId="8" borderId="85" xfId="0" applyFill="1" applyBorder="1"/>
    <xf numFmtId="168" fontId="21" fillId="0" borderId="10" xfId="0" applyNumberFormat="1" applyFont="1" applyBorder="1"/>
    <xf numFmtId="0" fontId="8" fillId="0" borderId="8" xfId="0" applyFont="1" applyBorder="1" applyAlignment="1">
      <alignment horizontal="center"/>
    </xf>
    <xf numFmtId="168" fontId="8" fillId="21" borderId="38" xfId="0" applyNumberFormat="1" applyFont="1" applyFill="1" applyBorder="1" applyAlignment="1">
      <alignment horizontal="center"/>
    </xf>
    <xf numFmtId="0" fontId="11" fillId="24" borderId="39" xfId="0" applyFont="1" applyFill="1" applyBorder="1" applyAlignment="1">
      <alignment horizontal="center" vertical="center"/>
    </xf>
    <xf numFmtId="0" fontId="11" fillId="24" borderId="85" xfId="0" applyFont="1" applyFill="1" applyBorder="1"/>
    <xf numFmtId="0" fontId="0" fillId="0" borderId="0" xfId="0"/>
    <xf numFmtId="0" fontId="33" fillId="0" borderId="0" xfId="0" applyFont="1"/>
    <xf numFmtId="0" fontId="0" fillId="0" borderId="53" xfId="0" applyBorder="1"/>
    <xf numFmtId="0" fontId="8" fillId="26" borderId="1" xfId="0" applyFont="1" applyFill="1" applyBorder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24" xfId="0" applyBorder="1"/>
    <xf numFmtId="0" fontId="0" fillId="0" borderId="7" xfId="0" applyBorder="1"/>
    <xf numFmtId="0" fontId="0" fillId="0" borderId="8" xfId="0" applyBorder="1"/>
    <xf numFmtId="168" fontId="0" fillId="0" borderId="0" xfId="0" applyNumberFormat="1"/>
    <xf numFmtId="0" fontId="8" fillId="0" borderId="0" xfId="0" applyFont="1" applyAlignment="1">
      <alignment horizontal="left"/>
    </xf>
    <xf numFmtId="168" fontId="0" fillId="0" borderId="0" xfId="3" applyNumberFormat="1" applyFont="1"/>
    <xf numFmtId="0" fontId="8" fillId="0" borderId="0" xfId="0" applyFont="1" applyAlignment="1">
      <alignment horizontal="center"/>
    </xf>
    <xf numFmtId="0" fontId="37" fillId="29" borderId="0" xfId="0" applyFont="1" applyFill="1"/>
    <xf numFmtId="0" fontId="37" fillId="31" borderId="0" xfId="0" applyFont="1" applyFill="1"/>
    <xf numFmtId="0" fontId="8" fillId="0" borderId="7" xfId="0" applyFont="1" applyBorder="1" applyAlignment="1">
      <alignment horizontal="center"/>
    </xf>
    <xf numFmtId="168" fontId="0" fillId="0" borderId="0" xfId="0" applyNumberFormat="1" applyFill="1"/>
    <xf numFmtId="0" fontId="11" fillId="30" borderId="1" xfId="0" applyFont="1" applyFill="1" applyBorder="1" applyAlignment="1">
      <alignment horizontal="left"/>
    </xf>
    <xf numFmtId="0" fontId="20" fillId="6" borderId="0" xfId="0" applyFont="1" applyFill="1" applyAlignment="1">
      <alignment horizontal="left"/>
    </xf>
    <xf numFmtId="0" fontId="36" fillId="0" borderId="0" xfId="0" applyFont="1" applyAlignment="1">
      <alignment horizontal="left" vertical="center"/>
    </xf>
    <xf numFmtId="0" fontId="8" fillId="0" borderId="54" xfId="0" applyFont="1" applyBorder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0" fillId="8" borderId="41" xfId="0" applyFill="1" applyBorder="1" applyAlignment="1">
      <alignment horizontal="center" vertical="center"/>
    </xf>
    <xf numFmtId="0" fontId="0" fillId="5" borderId="24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5" borderId="70" xfId="0" applyFont="1" applyFill="1" applyBorder="1" applyAlignment="1">
      <alignment horizontal="center"/>
    </xf>
    <xf numFmtId="0" fontId="8" fillId="5" borderId="9" xfId="0" applyFont="1" applyFill="1" applyBorder="1" applyAlignment="1">
      <alignment horizontal="center"/>
    </xf>
    <xf numFmtId="0" fontId="8" fillId="5" borderId="3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11" fillId="25" borderId="0" xfId="0" applyFont="1" applyFill="1" applyAlignment="1">
      <alignment horizontal="left"/>
    </xf>
    <xf numFmtId="165" fontId="0" fillId="0" borderId="0" xfId="0" applyNumberFormat="1" applyAlignment="1">
      <alignment horizontal="center"/>
    </xf>
    <xf numFmtId="0" fontId="8" fillId="0" borderId="7" xfId="0" applyFont="1" applyBorder="1" applyAlignment="1">
      <alignment horizontal="center"/>
    </xf>
    <xf numFmtId="0" fontId="16" fillId="8" borderId="27" xfId="25" applyFont="1" applyFill="1" applyBorder="1" applyAlignment="1">
      <alignment horizontal="center"/>
    </xf>
    <xf numFmtId="0" fontId="16" fillId="8" borderId="27" xfId="25" applyFont="1" applyFill="1" applyBorder="1" applyAlignment="1">
      <alignment horizontal="center" vertical="center"/>
    </xf>
    <xf numFmtId="168" fontId="28" fillId="23" borderId="1" xfId="23" applyNumberFormat="1" applyFont="1" applyFill="1" applyBorder="1" applyAlignment="1">
      <alignment horizontal="center"/>
    </xf>
    <xf numFmtId="168" fontId="26" fillId="7" borderId="1" xfId="23" applyNumberFormat="1" applyFont="1" applyFill="1" applyBorder="1" applyAlignment="1">
      <alignment horizontal="center"/>
    </xf>
    <xf numFmtId="44" fontId="9" fillId="2" borderId="4" xfId="3" applyFont="1" applyFill="1" applyBorder="1" applyAlignment="1">
      <alignment horizontal="right"/>
    </xf>
    <xf numFmtId="0" fontId="0" fillId="0" borderId="3" xfId="0" applyBorder="1" applyAlignment="1"/>
    <xf numFmtId="0" fontId="0" fillId="0" borderId="0" xfId="0" applyAlignment="1"/>
    <xf numFmtId="0" fontId="33" fillId="0" borderId="0" xfId="0" applyFont="1" applyAlignment="1"/>
    <xf numFmtId="0" fontId="0" fillId="0" borderId="55" xfId="0" applyBorder="1" applyAlignment="1"/>
    <xf numFmtId="0" fontId="8" fillId="26" borderId="1" xfId="0" applyFont="1" applyFill="1" applyBorder="1" applyAlignment="1"/>
    <xf numFmtId="0" fontId="0" fillId="0" borderId="5" xfId="0" applyBorder="1" applyAlignment="1"/>
    <xf numFmtId="0" fontId="0" fillId="0" borderId="1" xfId="0" applyBorder="1" applyAlignment="1"/>
    <xf numFmtId="0" fontId="0" fillId="0" borderId="53" xfId="0" applyBorder="1" applyAlignment="1"/>
    <xf numFmtId="0" fontId="0" fillId="0" borderId="57" xfId="0" applyBorder="1" applyAlignment="1"/>
    <xf numFmtId="0" fontId="0" fillId="0" borderId="58" xfId="0" applyBorder="1" applyAlignment="1"/>
    <xf numFmtId="0" fontId="8" fillId="0" borderId="86" xfId="0" applyFont="1" applyBorder="1" applyAlignment="1"/>
    <xf numFmtId="0" fontId="0" fillId="0" borderId="56" xfId="0" applyBorder="1" applyAlignment="1"/>
    <xf numFmtId="0" fontId="0" fillId="0" borderId="18" xfId="0" applyBorder="1" applyAlignment="1"/>
    <xf numFmtId="0" fontId="0" fillId="0" borderId="23" xfId="0" applyBorder="1" applyAlignment="1"/>
    <xf numFmtId="0" fontId="0" fillId="0" borderId="39" xfId="0" applyBorder="1" applyAlignment="1"/>
    <xf numFmtId="0" fontId="0" fillId="0" borderId="41" xfId="0" applyBorder="1" applyAlignment="1"/>
    <xf numFmtId="0" fontId="0" fillId="0" borderId="24" xfId="0" applyBorder="1" applyAlignment="1"/>
    <xf numFmtId="0" fontId="0" fillId="0" borderId="71" xfId="0" applyBorder="1" applyAlignment="1"/>
    <xf numFmtId="168" fontId="0" fillId="0" borderId="0" xfId="0" applyNumberFormat="1" applyAlignment="1"/>
    <xf numFmtId="0" fontId="0" fillId="0" borderId="7" xfId="0" applyBorder="1" applyAlignment="1"/>
    <xf numFmtId="0" fontId="0" fillId="0" borderId="8" xfId="0" applyBorder="1" applyAlignment="1"/>
    <xf numFmtId="0" fontId="11" fillId="30" borderId="0" xfId="0" applyFont="1" applyFill="1" applyAlignment="1"/>
    <xf numFmtId="168" fontId="0" fillId="0" borderId="0" xfId="3" applyNumberFormat="1" applyFont="1" applyAlignment="1"/>
    <xf numFmtId="0" fontId="37" fillId="31" borderId="0" xfId="0" applyFont="1" applyFill="1" applyAlignment="1"/>
    <xf numFmtId="0" fontId="11" fillId="28" borderId="0" xfId="0" applyFont="1" applyFill="1" applyAlignment="1"/>
    <xf numFmtId="0" fontId="37" fillId="29" borderId="0" xfId="0" applyFont="1" applyFill="1" applyAlignment="1"/>
    <xf numFmtId="0" fontId="6" fillId="0" borderId="0" xfId="0" applyFont="1" applyAlignment="1"/>
    <xf numFmtId="0" fontId="1" fillId="0" borderId="0" xfId="25" applyFont="1"/>
    <xf numFmtId="0" fontId="0" fillId="0" borderId="22" xfId="0" applyBorder="1" applyAlignment="1"/>
    <xf numFmtId="0" fontId="1" fillId="0" borderId="0" xfId="25" applyFont="1" applyAlignment="1">
      <alignment horizontal="center"/>
    </xf>
    <xf numFmtId="0" fontId="1" fillId="0" borderId="1" xfId="25" applyFont="1" applyBorder="1"/>
    <xf numFmtId="8" fontId="1" fillId="0" borderId="1" xfId="25" applyNumberFormat="1" applyFont="1" applyBorder="1"/>
    <xf numFmtId="169" fontId="1" fillId="0" borderId="1" xfId="25" applyNumberFormat="1" applyFont="1" applyBorder="1" applyAlignment="1">
      <alignment horizontal="center"/>
    </xf>
    <xf numFmtId="169" fontId="1" fillId="0" borderId="0" xfId="25" applyNumberFormat="1" applyFont="1" applyAlignment="1">
      <alignment horizontal="center"/>
    </xf>
    <xf numFmtId="0" fontId="1" fillId="0" borderId="0" xfId="23" applyFont="1"/>
    <xf numFmtId="0" fontId="1" fillId="0" borderId="1" xfId="23" applyFont="1" applyBorder="1"/>
    <xf numFmtId="168" fontId="1" fillId="0" borderId="1" xfId="23" applyNumberFormat="1" applyFont="1" applyBorder="1" applyAlignment="1">
      <alignment horizontal="center"/>
    </xf>
    <xf numFmtId="0" fontId="1" fillId="12" borderId="1" xfId="23" applyFont="1" applyFill="1" applyBorder="1"/>
    <xf numFmtId="168" fontId="1" fillId="12" borderId="1" xfId="23" applyNumberFormat="1" applyFont="1" applyFill="1" applyBorder="1" applyAlignment="1">
      <alignment horizontal="center"/>
    </xf>
    <xf numFmtId="14" fontId="1" fillId="0" borderId="1" xfId="19" applyNumberFormat="1" applyFont="1" applyBorder="1" applyAlignment="1">
      <alignment wrapText="1"/>
    </xf>
    <xf numFmtId="0" fontId="1" fillId="11" borderId="1" xfId="19" applyFont="1" applyFill="1" applyBorder="1" applyAlignment="1">
      <alignment wrapText="1"/>
    </xf>
    <xf numFmtId="167" fontId="1" fillId="0" borderId="1" xfId="19" applyNumberFormat="1" applyFont="1" applyBorder="1"/>
    <xf numFmtId="0" fontId="1" fillId="0" borderId="1" xfId="19" quotePrefix="1" applyFont="1" applyBorder="1" applyAlignment="1">
      <alignment wrapText="1"/>
    </xf>
    <xf numFmtId="0" fontId="1" fillId="0" borderId="1" xfId="20" applyFont="1" applyBorder="1" applyAlignment="1">
      <alignment wrapText="1"/>
    </xf>
    <xf numFmtId="167" fontId="1" fillId="0" borderId="1" xfId="20" applyNumberFormat="1" applyFont="1" applyBorder="1"/>
    <xf numFmtId="0" fontId="1" fillId="0" borderId="0" xfId="19" applyFont="1" applyAlignment="1">
      <alignment wrapText="1"/>
    </xf>
    <xf numFmtId="0" fontId="0" fillId="0" borderId="16" xfId="0" applyBorder="1" applyAlignment="1"/>
    <xf numFmtId="0" fontId="0" fillId="0" borderId="17" xfId="0" applyBorder="1" applyAlignment="1"/>
  </cellXfs>
  <cellStyles count="30">
    <cellStyle name="20% - Accent3" xfId="27" builtinId="38"/>
    <cellStyle name="Comma 2" xfId="10" xr:uid="{00000000-0005-0000-0000-00000B000000}"/>
    <cellStyle name="Comma 3" xfId="26" xr:uid="{00000000-0005-0000-0000-00001B000000}"/>
    <cellStyle name="Currency" xfId="3" builtinId="4"/>
    <cellStyle name="Currency 2" xfId="21" xr:uid="{00000000-0005-0000-0000-000016000000}"/>
    <cellStyle name="Currency 3" xfId="22" xr:uid="{00000000-0005-0000-0000-000017000000}"/>
    <cellStyle name="Currency 3 2" xfId="29" xr:uid="{00000000-0005-0000-0000-00001E000000}"/>
    <cellStyle name="Currency 4" xfId="24" xr:uid="{00000000-0005-0000-0000-000019000000}"/>
    <cellStyle name="Currency 5" xfId="28" xr:uid="{00000000-0005-0000-0000-00001D000000}"/>
    <cellStyle name="Heading" xfId="6" xr:uid="{00000000-0005-0000-0000-000007000000}"/>
    <cellStyle name="Hyperlink" xfId="4" builtinId="8"/>
    <cellStyle name="Hyperlink 2" xfId="18" xr:uid="{00000000-0005-0000-0000-000013000000}"/>
    <cellStyle name="Input" xfId="1" builtinId="20"/>
    <cellStyle name="Normal" xfId="0" builtinId="0"/>
    <cellStyle name="Normal 2" xfId="8" xr:uid="{00000000-0005-0000-0000-000009000000}"/>
    <cellStyle name="Normal 2 2" xfId="16" xr:uid="{00000000-0005-0000-0000-000011000000}"/>
    <cellStyle name="Normal 3" xfId="9" xr:uid="{00000000-0005-0000-0000-00000A000000}"/>
    <cellStyle name="Normal 3 2" xfId="11" xr:uid="{00000000-0005-0000-0000-00000C000000}"/>
    <cellStyle name="Normal 3 2 2" xfId="15" xr:uid="{00000000-0005-0000-0000-000010000000}"/>
    <cellStyle name="Normal 3 2 3" xfId="13" xr:uid="{00000000-0005-0000-0000-00000E000000}"/>
    <cellStyle name="Normal 3 3" xfId="14" xr:uid="{00000000-0005-0000-0000-00000F000000}"/>
    <cellStyle name="Normal 3 4" xfId="12" xr:uid="{00000000-0005-0000-0000-00000D000000}"/>
    <cellStyle name="Normal 4" xfId="17" xr:uid="{00000000-0005-0000-0000-000012000000}"/>
    <cellStyle name="Normal 5" xfId="19" xr:uid="{00000000-0005-0000-0000-000014000000}"/>
    <cellStyle name="Normal 5 2" xfId="20" xr:uid="{00000000-0005-0000-0000-000015000000}"/>
    <cellStyle name="Normal 6" xfId="23" xr:uid="{00000000-0005-0000-0000-000018000000}"/>
    <cellStyle name="Normal 7" xfId="25" xr:uid="{00000000-0005-0000-0000-00001A000000}"/>
    <cellStyle name="Percent" xfId="2" builtinId="5"/>
    <cellStyle name="Subtotal" xfId="5" xr:uid="{00000000-0005-0000-0000-000006000000}"/>
    <cellStyle name="Subtotal 2" xfId="7" xr:uid="{00000000-0005-0000-0000-000008000000}"/>
  </cellStyles>
  <dxfs count="190">
    <dxf>
      <fill>
        <patternFill>
          <bgColor theme="5" tint="0.39994506668294322"/>
        </patternFill>
      </fill>
    </dxf>
    <dxf>
      <alignment horizontal="center" vertical="top"/>
    </dxf>
    <dxf>
      <alignment horizontal="center" vertical="top"/>
    </dxf>
    <dxf>
      <alignment horizontal="center" vertical="top"/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b/>
        <color theme="0"/>
      </font>
      <fill>
        <patternFill>
          <bgColor rgb="FFFF000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numFmt numFmtId="168" formatCode="&quot;$&quot;#,##0.00"/>
    </dxf>
    <dxf>
      <numFmt numFmtId="171" formatCode="_([$€-2]\ * #,##0.00_);_([$€-2]\ * \(#,##0.00\);_([$€-2]\ * &quot;-&quot;??_);_(@_)"/>
    </dxf>
    <dxf>
      <numFmt numFmtId="170" formatCode="_-[$£-809]* #,##0.00_-;\-[$£-809]* #,##0.00_-;_-[$£-809]* &quot;-&quot;??_-;_-@_-"/>
    </dxf>
    <dxf>
      <numFmt numFmtId="171" formatCode="_([$€-2]\ * #,##0.00_);_([$€-2]\ * \(#,##0.00\);_([$€-2]\ * &quot;-&quot;??_);_(@_)"/>
    </dxf>
    <dxf>
      <numFmt numFmtId="170" formatCode="_-[$£-809]* #,##0.00_-;\-[$£-809]* #,##0.00_-;_-[$£-809]* &quot;-&quot;??_-;_-@_-"/>
    </dxf>
    <dxf>
      <numFmt numFmtId="171" formatCode="_([$€-2]\ * #,##0.00_);_([$€-2]\ * \(#,##0.00\);_([$€-2]\ * &quot;-&quot;??_);_(@_)"/>
    </dxf>
    <dxf>
      <numFmt numFmtId="170" formatCode="_-[$£-809]* #,##0.00_-;\-[$£-809]* #,##0.00_-;_-[$£-809]* &quot;-&quot;??_-;_-@_-"/>
    </dxf>
    <dxf>
      <numFmt numFmtId="171" formatCode="_([$€-2]\ * #,##0.00_);_([$€-2]\ * \(#,##0.00\);_([$€-2]\ * &quot;-&quot;??_);_(@_)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70" formatCode="_-[$£-809]* #,##0.00_-;\-[$£-809]* #,##0.00_-;_-[$£-809]* &quot;-&quot;??_-;_-@_-"/>
      <border>
        <left/>
        <right/>
        <top style="thin">
          <color indexed="64"/>
        </top>
        <bottom/>
      </border>
    </dxf>
    <dxf>
      <numFmt numFmtId="171" formatCode="_([$€-2]\ * #,##0.00_);_([$€-2]\ * \(#,##0.00\);_([$€-2]\ * &quot;-&quot;??_);_(@_)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0" formatCode="_-[$£-809]* #,##0.00_-;\-[$£-809]* #,##0.00_-;_-[$£-809]* &quot;-&quot;??_-;_-@_-"/>
      <border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171" formatCode="_([$€-2]\ * #,##0.00_);_([$€-2]\ * \(#,##0.00\);_([$€-2]\ * &quot;-&quot;??_);_(@_)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0" formatCode="_-[$£-809]* #,##0.00_-;\-[$£-809]* #,##0.00_-;_-[$£-809]* &quot;-&quot;??_-;_-@_-"/>
      <alignment horizontal="center" vertical="center"/>
      <border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/>
      <border>
        <left style="thin">
          <color indexed="64"/>
        </left>
        <right/>
        <top style="thin">
          <color indexed="64"/>
        </top>
        <bottom/>
      </border>
    </dxf>
    <dxf>
      <border>
        <left/>
        <right/>
        <top style="thin">
          <color indexed="64"/>
        </top>
        <bottom/>
        <vertical/>
        <horizontal/>
      </border>
    </dxf>
    <dxf>
      <border>
        <left/>
        <right/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auto="1"/>
        </bottom>
      </border>
    </dxf>
    <dxf>
      <border outline="0">
        <left style="medium">
          <color rgb="FF000000"/>
        </left>
        <top style="thin">
          <color rgb="FF000000"/>
        </top>
        <bottom style="medium">
          <color rgb="FF000000"/>
        </bottom>
      </border>
    </dxf>
    <dxf>
      <numFmt numFmtId="171" formatCode="_([$€-2]\ * #,##0.00_);_([$€-2]\ * \(#,##0.00\);_([$€-2]\ * &quot;-&quot;??_);_(@_)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alignment horizontal="center" vertical="center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bottom style="thin">
          <color auto="1"/>
        </bottom>
      </border>
    </dxf>
    <dxf>
      <fill>
        <patternFill>
          <fgColor indexed="64"/>
          <bgColor indexed="65"/>
        </patternFill>
      </fill>
      <alignment horizontal="general" vertical="bottom"/>
    </dxf>
    <dxf>
      <numFmt numFmtId="171" formatCode="_([$€-2]\ * #,##0.00_);_([$€-2]\ * \(#,##0.00\);_([$€-2]\ * &quot;-&quot;??_);_(@_)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71" formatCode="_([$€-2]\ * #,##0.00_);_([$€-2]\ * \(#,##0.00\);_([$€-2]\ * &quot;-&quot;??_);_(@_)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</border>
    </dxf>
    <dxf>
      <numFmt numFmtId="171" formatCode="_([$€-2]\ * #,##0.00_);_([$€-2]\ * \(#,##0.00\);_([$€-2]\ * &quot;-&quot;??_);_(@_)"/>
      <fill>
        <patternFill patternType="solid">
          <fgColor indexed="64"/>
          <bgColor theme="8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71" formatCode="_([$€-2]\ * #,##0.00_);_([$€-2]\ * \(#,##0.00\);_([$€-2]\ * &quot;-&quot;??_);_(@_)"/>
      <fill>
        <patternFill patternType="solid">
          <fgColor indexed="64"/>
          <bgColor theme="8" tint="0.7999816888943144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([$€-2]\ * #,##0.00_);_([$€-2]\ * \(#,##0.00\);_([$€-2]\ * &quot;-&quot;??_);_(@_)"/>
      <fill>
        <patternFill patternType="solid">
          <fgColor indexed="64"/>
          <bgColor theme="8" tint="0.7999816888943144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71" formatCode="_([$€-2]\ * #,##0.00_);_([$€-2]\ * \(#,##0.00\);_([$€-2]\ * &quot;-&quot;??_);_(@_)"/>
      <fill>
        <patternFill patternType="solid">
          <fgColor indexed="64"/>
          <bgColor theme="8" tint="0.79998168889431442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([$€-2]\ * #,##0.00_);_([$€-2]\ * \(#,##0.00\);_([$€-2]\ * &quot;-&quot;??_);_(@_)"/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71" formatCode="_([$€-2]\ * #,##0.00_);_([$€-2]\ * \(#,##0.00\);_([$€-2]\ * &quot;-&quot;??_);_(@_)"/>
      <fill>
        <patternFill patternType="solid">
          <fgColor indexed="64"/>
          <bgColor theme="7" tint="0.7999816888943144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([$€-2]\ * #,##0.00_);_([$€-2]\ * \(#,##0.00\);_([$€-2]\ * &quot;-&quot;??_);_(@_)"/>
      <fill>
        <patternFill patternType="solid">
          <fgColor indexed="64"/>
          <bgColor theme="5" tint="0.7999816888943144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71" formatCode="_([$€-2]\ * #,##0.00_);_([$€-2]\ * \(#,##0.00\);_([$€-2]\ * &quot;-&quot;??_);_(@_)"/>
      <fill>
        <patternFill patternType="solid">
          <fgColor indexed="64"/>
          <bgColor theme="5" tint="0.79998168889431442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([$€-2]\ * #,##0.00_);_([$€-2]\ * \(#,##0.00\);_([$€-2]\ * &quot;-&quot;??_);_(@_)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71" formatCode="_([$€-2]\ * #,##0.00_);_([$€-2]\ * \(#,##0.00\);_([$€-2]\ * &quot;-&quot;??_);_(@_)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</border>
    </dxf>
    <dxf>
      <numFmt numFmtId="171" formatCode="_([$€-2]\ * #,##0.00_);_([$€-2]\ * \(#,##0.00\);_([$€-2]\ * &quot;-&quot;??_);_(@_)"/>
      <fill>
        <patternFill patternType="solid">
          <fgColor indexed="64"/>
          <bgColor theme="6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71" formatCode="_([$€-2]\ * #,##0.00_);_([$€-2]\ * \(#,##0.00\);_([$€-2]\ * &quot;-&quot;??_);_(@_)"/>
      <fill>
        <patternFill patternType="solid">
          <fgColor indexed="64"/>
          <bgColor theme="6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</border>
    </dxf>
    <dxf>
      <numFmt numFmtId="171" formatCode="_([$€-2]\ * #,##0.00_);_([$€-2]\ * \(#,##0.00\);_([$€-2]\ * &quot;-&quot;??_);_(@_)"/>
      <fill>
        <patternFill patternType="solid">
          <fgColor indexed="64"/>
          <bgColor theme="4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71" formatCode="_([$€-2]\ * #,##0.00_);_([$€-2]\ * \(#,##0.00\);_([$€-2]\ * &quot;-&quot;??_);_(@_)"/>
      <fill>
        <patternFill patternType="solid">
          <fgColor indexed="64"/>
          <bgColor theme="4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</border>
    </dxf>
    <dxf>
      <numFmt numFmtId="171" formatCode="_([$€-2]\ * #,##0.00_);_([$€-2]\ * \(#,##0.00\);_([$€-2]\ * &quot;-&quot;??_);_(@_)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numFmt numFmtId="171" formatCode="_([$€-2]\ * #,##0.00_);_([$€-2]\ * \(#,##0.00\);_([$€-2]\ * &quot;-&quot;??_);_(@_)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</border>
    </dxf>
    <dxf>
      <alignment horizontal="center" vertical="center"/>
      <border>
        <left/>
        <right/>
        <top style="thin">
          <color indexed="64"/>
        </top>
        <bottom/>
        <vertical/>
        <horizontal/>
      </border>
    </dxf>
    <dxf>
      <alignment horizontal="center" vertical="center"/>
      <border>
        <left style="thin">
          <color indexed="64"/>
        </left>
        <right/>
        <top style="thin">
          <color indexed="64"/>
        </top>
        <bottom/>
      </border>
    </dxf>
    <dxf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>
        <left style="medium">
          <color indexed="64"/>
        </left>
        <right/>
        <top style="thin">
          <color indexed="6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fill>
        <patternFill patternType="solid">
          <fgColor indexed="64"/>
          <bgColor theme="9"/>
        </patternFill>
      </fill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7" tint="0.7999816888943144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5" tint="0.7999816888943144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6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4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alignment horizontal="center" vertical="center"/>
      <border>
        <left/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bottom style="thin">
          <color rgb="FF000000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"/>
        <family val="2"/>
      </font>
      <fill>
        <patternFill patternType="solid">
          <fgColor indexed="64"/>
          <bgColor rgb="FFFFC000"/>
        </patternFill>
      </fill>
      <alignment horizontal="center" vertical="bottom"/>
    </dxf>
    <dxf>
      <numFmt numFmtId="168" formatCode="&quot;$&quot;#,##0.00"/>
      <border outline="0">
        <left/>
        <right style="medium">
          <color indexed="64"/>
        </right>
        <top/>
        <bottom style="medium">
          <color indexed="64"/>
        </bottom>
      </border>
    </dxf>
    <dxf>
      <numFmt numFmtId="168" formatCode="&quot;$&quot;#,##0.00"/>
    </dxf>
    <dxf>
      <numFmt numFmtId="168" formatCode="&quot;$&quot;#,##0.00"/>
      <border outline="0">
        <left/>
        <right/>
        <top/>
        <bottom style="medium">
          <color indexed="64"/>
        </bottom>
      </border>
    </dxf>
    <dxf>
      <numFmt numFmtId="168" formatCode="&quot;$&quot;#,##0.00"/>
    </dxf>
    <dxf>
      <numFmt numFmtId="168" formatCode="&quot;$&quot;#,##0.00"/>
      <border outline="0">
        <left/>
        <right/>
        <top/>
        <bottom style="medium">
          <color indexed="64"/>
        </bottom>
      </border>
    </dxf>
    <dxf>
      <border outline="0">
        <left/>
        <right/>
        <top/>
        <bottom style="medium">
          <color indexed="64"/>
        </bottom>
      </border>
    </dxf>
    <dxf>
      <numFmt numFmtId="168" formatCode="&quot;$&quot;#,##0.00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8" formatCode="&quot;$&quot;#,##0.00"/>
      <border outline="0">
        <left/>
        <right/>
        <top style="thin">
          <color indexed="64"/>
        </top>
        <bottom style="medium">
          <color indexed="64"/>
        </bottom>
      </border>
    </dxf>
    <dxf>
      <numFmt numFmtId="168" formatCode="&quot;$&quot;#,##0.00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8" formatCode="&quot;$&quot;#,##0.00"/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numFmt numFmtId="168" formatCode="&quot;$&quot;#,##0.00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8" formatCode="&quot;$&quot;#,##0.00"/>
      <alignment horizontal="center" vertical="center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/>
      <border outline="0">
        <left style="thin">
          <color indexed="64"/>
        </left>
        <right/>
        <top style="thin">
          <color indexed="64"/>
        </top>
        <bottom style="medium">
          <color indexed="64"/>
        </bottom>
      </border>
    </dxf>
    <dxf>
      <border>
        <left/>
        <right/>
        <top style="thin">
          <color indexed="64"/>
        </top>
        <bottom/>
        <vertical/>
        <horizontal/>
      </border>
    </dxf>
    <dxf>
      <border outline="0">
        <left style="medium">
          <color indexed="64"/>
        </left>
        <right/>
        <top style="thin">
          <color indexed="64"/>
        </top>
        <bottom style="medium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auto="1"/>
        </bottom>
      </border>
    </dxf>
    <dxf>
      <border outline="0">
        <left style="medium">
          <color rgb="FF000000"/>
        </left>
        <top style="thin">
          <color rgb="FF000000"/>
        </top>
        <bottom style="medium">
          <color rgb="FF000000"/>
        </bottom>
      </border>
    </dxf>
    <dxf>
      <numFmt numFmtId="12" formatCode="&quot;$&quot;#,##0.00_);[Red]\(&quot;$&quot;#,##0.00\)"/>
      <alignment horizontal="center" vertical="center"/>
      <border>
        <left/>
        <right style="thick">
          <color auto="1"/>
        </right>
        <top/>
        <bottom/>
        <vertical/>
        <horizontal/>
      </border>
    </dxf>
    <dxf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border>
        <left style="thick">
          <color auto="1"/>
        </left>
        <right/>
        <top/>
        <bottom/>
        <vertical/>
        <horizontal/>
      </border>
    </dxf>
    <dxf>
      <border outline="0">
        <bottom style="thin">
          <color auto="1"/>
        </bottom>
      </border>
    </dxf>
    <dxf>
      <fill>
        <patternFill>
          <fgColor indexed="64"/>
          <bgColor indexed="65"/>
        </patternFill>
      </fill>
      <alignment horizontal="general" vertical="bottom"/>
    </dxf>
    <dxf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68" formatCode="&quot;$&quot;#,##0.00"/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7" tint="0.79998168889431442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68" formatCode="&quot;$&quot;#,##0.00"/>
      <fill>
        <patternFill patternType="solid">
          <fgColor indexed="64"/>
          <bgColor theme="5" tint="0.7999816888943144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5" tint="0.79998168889431442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medium">
          <color indexed="64"/>
        </bottom>
      </border>
    </dxf>
    <dxf>
      <numFmt numFmtId="168" formatCode="&quot;$&quot;#,##0.00"/>
      <fill>
        <patternFill patternType="solid">
          <fgColor indexed="64"/>
          <bgColor theme="6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6" tint="0.79998168889431442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medium">
          <color indexed="64"/>
        </bottom>
      </border>
    </dxf>
    <dxf>
      <numFmt numFmtId="168" formatCode="&quot;$&quot;#,##0.00"/>
      <fill>
        <patternFill patternType="solid">
          <fgColor indexed="64"/>
          <bgColor theme="4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4" tint="0.79998168889431442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medium">
          <color indexed="64"/>
        </bottom>
      </border>
    </dxf>
    <dxf>
      <numFmt numFmtId="168" formatCode="&quot;$&quot;#,##0.00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numFmt numFmtId="168" formatCode="&quot;$&quot;#,##0.00"/>
      <fill>
        <patternFill patternType="solid">
          <fgColor indexed="64"/>
          <bgColor theme="2"/>
        </patternFill>
      </fill>
      <alignment horizontal="center" vertical="bottom"/>
      <border outline="0">
        <left style="medium">
          <color indexed="64"/>
        </left>
        <right/>
        <top style="thin">
          <color indexed="64"/>
        </top>
        <bottom style="medium">
          <color indexed="64"/>
        </bottom>
      </border>
    </dxf>
    <dxf>
      <alignment horizontal="center" vertical="center"/>
      <border>
        <left/>
        <right/>
        <top style="thin">
          <color indexed="64"/>
        </top>
        <bottom/>
        <vertical/>
        <horizontal/>
      </border>
    </dxf>
    <dxf>
      <alignment horizontal="center" vertical="center"/>
      <border outline="0">
        <left style="thin">
          <color indexed="64"/>
        </left>
        <right/>
        <top style="thin">
          <color indexed="64"/>
        </top>
        <bottom style="medium">
          <color indexed="64"/>
        </bottom>
      </border>
    </dxf>
    <dxf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left style="medium">
          <color indexed="64"/>
        </left>
        <right/>
        <top style="thin">
          <color indexed="64"/>
        </top>
        <bottom style="medium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fill>
        <patternFill patternType="solid">
          <fgColor indexed="64"/>
          <bgColor theme="9"/>
        </patternFill>
      </fill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7" tint="0.7999816888943144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5" tint="0.7999816888943144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6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4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alignment horizontal="center" vertical="center"/>
      <border>
        <left/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bottom style="thin">
          <color rgb="FF000000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"/>
        <family val="2"/>
      </font>
      <fill>
        <patternFill patternType="solid">
          <fgColor indexed="64"/>
          <bgColor rgb="FFFFC000"/>
        </patternFill>
      </fill>
      <alignment horizontal="center" vertical="bottom"/>
    </dxf>
    <dxf>
      <numFmt numFmtId="168" formatCode="&quot;$&quot;#,##0.00"/>
    </dxf>
    <dxf>
      <numFmt numFmtId="168" formatCode="&quot;$&quot;#,##0.00"/>
    </dxf>
    <dxf>
      <numFmt numFmtId="168" formatCode="&quot;$&quot;#,##0.00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8" formatCode="&quot;$&quot;#,##0.00"/>
      <border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8" formatCode="&quot;$&quot;#,##0.00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auto="1"/>
        </bottom>
      </border>
    </dxf>
    <dxf>
      <border outline="0">
        <left style="medium">
          <color rgb="FF000000"/>
        </left>
        <top style="thin">
          <color rgb="FF000000"/>
        </top>
        <bottom style="medium">
          <color rgb="FF000000"/>
        </bottom>
      </border>
    </dxf>
    <dxf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alignment horizontal="center" vertical="center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bottom style="thin">
          <color auto="1"/>
        </bottom>
      </border>
    </dxf>
    <dxf>
      <fill>
        <patternFill>
          <fgColor indexed="64"/>
          <bgColor indexed="65"/>
        </patternFill>
      </fill>
      <alignment horizontal="general" vertical="bottom"/>
    </dxf>
    <dxf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/>
      </border>
    </dxf>
    <dxf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&quot;$&quot;#,##0.00"/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7" tint="0.79998168889431442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&quot;$&quot;#,##0.00"/>
      <fill>
        <patternFill patternType="solid">
          <fgColor indexed="64"/>
          <bgColor theme="5" tint="0.7999816888943144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5" tint="0.79998168889431442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/>
      </border>
    </dxf>
    <dxf>
      <numFmt numFmtId="168" formatCode="&quot;$&quot;#,##0.00"/>
      <fill>
        <patternFill patternType="solid">
          <fgColor indexed="64"/>
          <bgColor theme="6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6" tint="0.79998168889431442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/>
      </border>
    </dxf>
    <dxf>
      <numFmt numFmtId="168" formatCode="&quot;$&quot;#,##0.00"/>
      <fill>
        <patternFill patternType="solid">
          <fgColor indexed="64"/>
          <bgColor theme="4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4" tint="0.79998168889431442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/>
      </border>
    </dxf>
    <dxf>
      <numFmt numFmtId="168" formatCode="&quot;$&quot;#,##0.00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numFmt numFmtId="168" formatCode="&quot;$&quot;#,##0.00"/>
      <fill>
        <patternFill patternType="solid">
          <fgColor indexed="64"/>
          <bgColor theme="2"/>
        </patternFill>
      </fill>
      <alignment horizontal="center" vertical="bottom"/>
      <border outline="0">
        <left style="medium">
          <color indexed="64"/>
        </left>
        <right/>
        <top style="thin">
          <color indexed="64"/>
        </top>
        <bottom/>
      </border>
    </dxf>
    <dxf>
      <alignment horizontal="center" vertical="center"/>
      <border>
        <left/>
        <right/>
        <top style="thin">
          <color indexed="64"/>
        </top>
        <bottom/>
        <vertical/>
        <horizontal/>
      </border>
    </dxf>
    <dxf>
      <alignment horizontal="center" vertical="center"/>
      <border outline="0">
        <left style="thin">
          <color indexed="64"/>
        </left>
        <right/>
        <top style="thin">
          <color indexed="64"/>
        </top>
        <bottom/>
      </border>
    </dxf>
    <dxf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left style="medium">
          <color indexed="64"/>
        </left>
        <right/>
        <top style="thin">
          <color indexed="6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fill>
        <patternFill patternType="solid">
          <fgColor indexed="64"/>
          <bgColor theme="9"/>
        </patternFill>
      </fill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8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7" tint="0.79998168889431442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5" tint="0.7999816888943144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rgb="FF92D05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6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4" tint="0.79998168889431442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numFmt numFmtId="168" formatCode="&quot;$&quot;#,##0.00"/>
      <fill>
        <patternFill patternType="solid">
          <fgColor indexed="64"/>
          <bgColor theme="2"/>
        </patternFill>
      </fill>
      <alignment horizontal="center" vertical="bottom"/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alignment horizontal="center" vertical="center"/>
      <border>
        <left/>
        <right/>
        <top style="thin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Arial"/>
        <family val="2"/>
      </font>
      <border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bottom style="thin">
          <color rgb="FF000000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"/>
        <family val="2"/>
      </font>
      <fill>
        <patternFill patternType="solid">
          <fgColor indexed="64"/>
          <bgColor rgb="FFFFC000"/>
        </patternFill>
      </fill>
      <alignment horizontal="center" vertical="bottom"/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t.sharepoint.com/personal/sumimotl_wwt_com/Documents/Microsoft%20Teams%20Chat%20Files/Sponsor_and_Stakeholder_Matrix_and_Analysis_Template%20-%20FIN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t.sharepoint.com/Documents%20and%20Settings/bradley.w.pantel/Local%20Settings/Temporary%20Internet%20Files/OLK16/EU%20Sponsor_Critical%20Stakeholder%20Map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t.sharepoint.com/C:/Users/gettierp/AppData/Local/Temp/Temp1_Stakeholder-Analysis-Template-for-Excel.zip/Stakeholder%20Analysis%20Template%20for%20Exc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Change Curve"/>
      <sheetName val="LOV"/>
      <sheetName val="Matrix and Analysis"/>
      <sheetName val="Engagement Map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U"/>
      <sheetName val="LOV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takeholder_Log"/>
      <sheetName val="DropDown_Elements"/>
    </sheetNames>
    <sheetDataSet>
      <sheetData sheetId="0" refreshError="1"/>
      <sheetData sheetId="1" refreshError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ear 1"/>
      <sheetName val="With 10% Increase"/>
    </sheetNames>
    <sheetDataSet>
      <sheetData sheetId="0">
        <row r="4">
          <cell r="C4">
            <v>20808.34</v>
          </cell>
          <cell r="G4">
            <v>8471.25</v>
          </cell>
          <cell r="I4">
            <v>8202.7900000000009</v>
          </cell>
          <cell r="K4">
            <v>2499.9</v>
          </cell>
          <cell r="M4">
            <v>1634.4</v>
          </cell>
        </row>
        <row r="5">
          <cell r="C5">
            <v>20808.34</v>
          </cell>
          <cell r="G5">
            <v>8471.25</v>
          </cell>
          <cell r="I5">
            <v>8202.7900000000009</v>
          </cell>
          <cell r="K5">
            <v>2499.9</v>
          </cell>
          <cell r="M5">
            <v>1634.4</v>
          </cell>
        </row>
        <row r="6">
          <cell r="C6">
            <v>14981.03</v>
          </cell>
          <cell r="G6">
            <v>4332.5</v>
          </cell>
          <cell r="I6">
            <v>7146.93</v>
          </cell>
          <cell r="K6">
            <v>2259.3000000000002</v>
          </cell>
          <cell r="M6">
            <v>1242.3</v>
          </cell>
        </row>
        <row r="11">
          <cell r="C11">
            <v>3072.96</v>
          </cell>
          <cell r="G11">
            <v>813.24</v>
          </cell>
          <cell r="K11">
            <v>499.98</v>
          </cell>
          <cell r="M11">
            <v>326.88</v>
          </cell>
        </row>
        <row r="12">
          <cell r="C12">
            <v>3072.96</v>
          </cell>
          <cell r="G12">
            <v>813.24</v>
          </cell>
          <cell r="K12">
            <v>499.98</v>
          </cell>
          <cell r="M12">
            <v>326.88</v>
          </cell>
        </row>
        <row r="13">
          <cell r="C13">
            <v>2436.2600000000002</v>
          </cell>
          <cell r="G13">
            <v>415.92</v>
          </cell>
          <cell r="K13">
            <v>451.86</v>
          </cell>
          <cell r="M13">
            <v>248.46</v>
          </cell>
        </row>
        <row r="18">
          <cell r="C18">
            <v>598.55999999999995</v>
          </cell>
          <cell r="G18">
            <v>135.54</v>
          </cell>
          <cell r="I18">
            <v>187.4</v>
          </cell>
          <cell r="K18">
            <v>166.66</v>
          </cell>
          <cell r="M18">
            <v>108.96</v>
          </cell>
        </row>
        <row r="19">
          <cell r="C19">
            <v>598.55999999999995</v>
          </cell>
          <cell r="G19">
            <v>135.54</v>
          </cell>
          <cell r="I19">
            <v>187.4</v>
          </cell>
          <cell r="K19">
            <v>166.66</v>
          </cell>
          <cell r="M19">
            <v>108.96</v>
          </cell>
        </row>
        <row r="20">
          <cell r="C20">
            <v>457.92</v>
          </cell>
          <cell r="G20">
            <v>69.319999999999993</v>
          </cell>
          <cell r="I20">
            <v>155.16</v>
          </cell>
          <cell r="K20">
            <v>150.62</v>
          </cell>
          <cell r="M20">
            <v>82.82</v>
          </cell>
        </row>
        <row r="25">
          <cell r="C25">
            <v>409.2</v>
          </cell>
          <cell r="G25">
            <v>67.77</v>
          </cell>
          <cell r="I25">
            <v>65.81</v>
          </cell>
          <cell r="K25">
            <v>166.66</v>
          </cell>
        </row>
        <row r="26">
          <cell r="C26">
            <v>409.2</v>
          </cell>
          <cell r="G26">
            <v>67.77</v>
          </cell>
          <cell r="I26">
            <v>65.81</v>
          </cell>
          <cell r="K26">
            <v>166.66</v>
          </cell>
        </row>
        <row r="27">
          <cell r="C27">
            <v>325.85000000000002</v>
          </cell>
          <cell r="G27">
            <v>34.659999999999997</v>
          </cell>
          <cell r="I27">
            <v>57.75</v>
          </cell>
          <cell r="K27">
            <v>150.62</v>
          </cell>
        </row>
        <row r="32">
          <cell r="C32">
            <v>336.09</v>
          </cell>
          <cell r="G32">
            <v>33.89</v>
          </cell>
          <cell r="I32">
            <v>26.59</v>
          </cell>
          <cell r="K32">
            <v>166.66</v>
          </cell>
          <cell r="M32">
            <v>108.96</v>
          </cell>
        </row>
        <row r="33">
          <cell r="C33">
            <v>336.09</v>
          </cell>
          <cell r="G33">
            <v>33.89</v>
          </cell>
          <cell r="I33">
            <v>26.59</v>
          </cell>
          <cell r="K33">
            <v>166.66</v>
          </cell>
          <cell r="M33">
            <v>108.96</v>
          </cell>
        </row>
        <row r="34">
          <cell r="C34">
            <v>273.33</v>
          </cell>
          <cell r="G34">
            <v>17.329999999999998</v>
          </cell>
          <cell r="I34">
            <v>22.56</v>
          </cell>
          <cell r="K34">
            <v>150.62</v>
          </cell>
          <cell r="M34">
            <v>82.82</v>
          </cell>
        </row>
        <row r="39">
          <cell r="C39">
            <v>552.04</v>
          </cell>
          <cell r="G39">
            <v>101.66</v>
          </cell>
          <cell r="I39">
            <v>174.76</v>
          </cell>
          <cell r="K39">
            <v>166.66</v>
          </cell>
          <cell r="M39">
            <v>108.96</v>
          </cell>
        </row>
        <row r="40">
          <cell r="C40">
            <v>552.04</v>
          </cell>
          <cell r="G40">
            <v>101.66</v>
          </cell>
          <cell r="I40">
            <v>174.76</v>
          </cell>
          <cell r="K40">
            <v>166.66</v>
          </cell>
          <cell r="M40">
            <v>108.96</v>
          </cell>
        </row>
        <row r="41">
          <cell r="C41">
            <v>427.95</v>
          </cell>
          <cell r="G41">
            <v>51.99</v>
          </cell>
          <cell r="I41">
            <v>142.52000000000001</v>
          </cell>
          <cell r="K41">
            <v>150.62</v>
          </cell>
          <cell r="M41">
            <v>82.82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487" displayName="Table487" ref="A1:K14" totalsRowShown="0" headerRowDxfId="188" tableBorderDxfId="187">
  <autoFilter ref="A1:K14" xr:uid="{00000000-0009-0000-0100-000001000000}"/>
  <tableColumns count="11">
    <tableColumn id="1" xr3:uid="{00000000-0010-0000-0000-000001000000}" name="SKU" dataDxfId="186"/>
    <tableColumn id="2" xr3:uid="{00000000-0010-0000-0000-000002000000}" name="Column2" dataDxfId="185"/>
    <tableColumn id="3" xr3:uid="{00000000-0010-0000-0000-000003000000}" name="Integration" dataDxfId="184"/>
    <tableColumn id="4" xr3:uid="{00000000-0010-0000-0000-000004000000}" name="Delivery" dataDxfId="183"/>
    <tableColumn id="5" xr3:uid="{00000000-0010-0000-0000-000005000000}" name="title 60 months" dataDxfId="182"/>
    <tableColumn id="6" xr3:uid="{00000000-0010-0000-0000-000006000000}" name="CSOW Totals" dataDxfId="181"/>
    <tableColumn id="7" xr3:uid="{00000000-0010-0000-0000-000007000000}" name="Install" dataDxfId="180"/>
    <tableColumn id="8" xr3:uid="{00000000-0010-0000-0000-000008000000}" name="PMO" dataDxfId="179"/>
    <tableColumn id="9" xr3:uid="{00000000-0010-0000-0000-000009000000}" name="Break/Fix" dataDxfId="178"/>
    <tableColumn id="10" xr3:uid="{00000000-0010-0000-0000-00000A000000}" name="Call Center" dataDxfId="177"/>
    <tableColumn id="11" xr3:uid="{00000000-0010-0000-0000-00000B000000}" name="CSOW" dataDxfId="176">
      <calculatedColumnFormula>SUM(Table487[[#This Row],[Install]:[Call Center]])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910" displayName="Table2910" ref="A16:K28" totalsRowCount="1" headerRowDxfId="175">
  <autoFilter ref="A16:K27" xr:uid="{00000000-0009-0000-0100-000002000000}"/>
  <tableColumns count="11">
    <tableColumn id="1" xr3:uid="{00000000-0010-0000-0100-000001000000}" name="Column1" dataDxfId="173" totalsRowDxfId="174"/>
    <tableColumn id="2" xr3:uid="{00000000-0010-0000-0100-000002000000}" name="Column2" dataDxfId="171" totalsRowDxfId="172"/>
    <tableColumn id="3" xr3:uid="{00000000-0010-0000-0100-000003000000}" name="Integration" totalsRowFunction="custom" dataDxfId="169" totalsRowDxfId="170">
      <calculatedColumnFormula>C3/60</calculatedColumnFormula>
      <totalsRowFormula>SUM(Table2910[Integration])</totalsRowFormula>
    </tableColumn>
    <tableColumn id="4" xr3:uid="{00000000-0010-0000-0100-000004000000}" name="Delivery" totalsRowFunction="sum" dataDxfId="167" totalsRowDxfId="168">
      <calculatedColumnFormula>D3/60</calculatedColumnFormula>
    </tableColumn>
    <tableColumn id="5" xr3:uid="{00000000-0010-0000-0100-000005000000}" name="title 60 months" totalsRowFunction="sum" dataDxfId="165" totalsRowDxfId="166">
      <calculatedColumnFormula>E3/60</calculatedColumnFormula>
    </tableColumn>
    <tableColumn id="6" xr3:uid="{00000000-0010-0000-0100-000006000000}" name="CSOW" totalsRowFunction="sum" dataDxfId="163" totalsRowDxfId="164">
      <calculatedColumnFormula>SUM(C17:E17)</calculatedColumnFormula>
    </tableColumn>
    <tableColumn id="7" xr3:uid="{00000000-0010-0000-0100-000007000000}" name="Install" totalsRowFunction="sum" dataDxfId="161" totalsRowDxfId="162">
      <calculatedColumnFormula>G3/60</calculatedColumnFormula>
    </tableColumn>
    <tableColumn id="8" xr3:uid="{00000000-0010-0000-0100-000008000000}" name="PMO" totalsRowFunction="sum" dataDxfId="159" totalsRowDxfId="160">
      <calculatedColumnFormula>H3/60</calculatedColumnFormula>
    </tableColumn>
    <tableColumn id="9" xr3:uid="{00000000-0010-0000-0100-000009000000}" name="Break/Fix" totalsRowFunction="sum" dataDxfId="157" totalsRowDxfId="158">
      <calculatedColumnFormula>I3/60</calculatedColumnFormula>
    </tableColumn>
    <tableColumn id="10" xr3:uid="{00000000-0010-0000-0100-00000A000000}" name="Call Center" totalsRowFunction="sum" dataDxfId="155" totalsRowDxfId="156">
      <calculatedColumnFormula>J3/60</calculatedColumnFormula>
    </tableColumn>
    <tableColumn id="11" xr3:uid="{00000000-0010-0000-0100-00000B000000}" name="CSOW2" totalsRowFunction="custom" dataDxfId="153" totalsRowDxfId="154">
      <calculatedColumnFormula>SUM(Table2910[[#This Row],[Install]:[Call Center]])</calculatedColumnFormula>
      <totalsRowFormula>SUBTOTAL(109,Table2910[CSOW2])</totalsRow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51113" displayName="Table51113" ref="A32:C44" totalsRowShown="0" headerRowDxfId="152" headerRowBorderDxfId="151">
  <autoFilter ref="A32:C44" xr:uid="{00000000-0009-0000-0100-000003000000}"/>
  <tableColumns count="3">
    <tableColumn id="1" xr3:uid="{00000000-0010-0000-0200-000001000000}" name="SKU" dataDxfId="150"/>
    <tableColumn id="2" xr3:uid="{00000000-0010-0000-0200-000002000000}" name="Qty" dataDxfId="149"/>
    <tableColumn id="3" xr3:uid="{00000000-0010-0000-0200-000003000000}" name="Integration Cost" dataDxfId="14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71214" displayName="Table371214" ref="A47:H60" totalsRowShown="0" headerRowBorderDxfId="146" tableBorderDxfId="147" totalsRowBorderDxfId="145">
  <autoFilter ref="A47:H60" xr:uid="{00000000-0009-0000-0100-000004000000}"/>
  <tableColumns count="8">
    <tableColumn id="1" xr3:uid="{00000000-0010-0000-0300-000001000000}" name="SKU" dataDxfId="144"/>
    <tableColumn id="2" xr3:uid="{00000000-0010-0000-0300-000002000000}" name="qty" dataDxfId="143"/>
    <tableColumn id="3" xr3:uid="{00000000-0010-0000-0300-000003000000}" name="Install " dataDxfId="142"/>
    <tableColumn id="4" xr3:uid="{00000000-0010-0000-0300-000004000000}" name="break fix" dataDxfId="141"/>
    <tableColumn id="5" xr3:uid="{00000000-0010-0000-0300-000005000000}" name="call center" dataDxfId="140"/>
    <tableColumn id="6" xr3:uid="{00000000-0010-0000-0300-000006000000}" name="Break fix2"/>
    <tableColumn id="7" xr3:uid="{00000000-0010-0000-0300-000007000000}" name="call center2" dataDxfId="139"/>
    <tableColumn id="8" xr3:uid="{00000000-0010-0000-0300-000008000000}" name="Break/Fix &amp; Call Center Total" dataDxfId="13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8" displayName="Table48" ref="B2:L8" totalsRowShown="0" headerRowDxfId="137" tableBorderDxfId="136">
  <autoFilter ref="B2:L8" xr:uid="{00000000-0009-0000-0100-000005000000}"/>
  <tableColumns count="11">
    <tableColumn id="1" xr3:uid="{00000000-0010-0000-0400-000001000000}" name="SKU" dataDxfId="135"/>
    <tableColumn id="2" xr3:uid="{00000000-0010-0000-0400-000002000000}" name="Column2" dataDxfId="134"/>
    <tableColumn id="3" xr3:uid="{00000000-0010-0000-0400-000003000000}" name="Integration" dataDxfId="133"/>
    <tableColumn id="4" xr3:uid="{00000000-0010-0000-0400-000004000000}" name="Delivery" dataDxfId="132"/>
    <tableColumn id="5" xr3:uid="{00000000-0010-0000-0400-000005000000}" name="title 60 months" dataDxfId="131"/>
    <tableColumn id="6" xr3:uid="{00000000-0010-0000-0400-000006000000}" name="CSOW Totals" dataDxfId="130"/>
    <tableColumn id="7" xr3:uid="{00000000-0010-0000-0400-000007000000}" name="Install" dataDxfId="129"/>
    <tableColumn id="8" xr3:uid="{00000000-0010-0000-0400-000008000000}" name="PMO" dataDxfId="128"/>
    <tableColumn id="9" xr3:uid="{00000000-0010-0000-0400-000009000000}" name="Break/Fix" dataDxfId="127"/>
    <tableColumn id="10" xr3:uid="{00000000-0010-0000-0400-00000A000000}" name="Call Center" dataDxfId="126"/>
    <tableColumn id="11" xr3:uid="{00000000-0010-0000-0400-00000B000000}" name="CSOW" dataDxfId="125">
      <calculatedColumnFormula>SUM(Table48[[#This Row],[Install]:[Call Center]])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9" displayName="Table29" ref="B10:L15" totalsRowCount="1" headerRowDxfId="124">
  <autoFilter ref="B10:L14" xr:uid="{00000000-0009-0000-0100-000006000000}"/>
  <tableColumns count="11">
    <tableColumn id="1" xr3:uid="{00000000-0010-0000-0500-000001000000}" name="Column1" dataDxfId="122" totalsRowDxfId="123"/>
    <tableColumn id="2" xr3:uid="{00000000-0010-0000-0500-000002000000}" name="Column2" dataDxfId="120" totalsRowDxfId="121"/>
    <tableColumn id="3" xr3:uid="{00000000-0010-0000-0500-000003000000}" name="Integration" totalsRowFunction="custom" dataDxfId="118" totalsRowDxfId="119">
      <calculatedColumnFormula>D4/60</calculatedColumnFormula>
      <totalsRowFormula>SUM(Table29[Integration])</totalsRowFormula>
    </tableColumn>
    <tableColumn id="4" xr3:uid="{00000000-0010-0000-0500-000004000000}" name="Delivery" totalsRowFunction="sum" dataDxfId="116" totalsRowDxfId="117">
      <calculatedColumnFormula>E4/60</calculatedColumnFormula>
    </tableColumn>
    <tableColumn id="5" xr3:uid="{00000000-0010-0000-0500-000005000000}" name="title 60 months" totalsRowFunction="sum" dataDxfId="114" totalsRowDxfId="115">
      <calculatedColumnFormula>F4/60</calculatedColumnFormula>
    </tableColumn>
    <tableColumn id="6" xr3:uid="{00000000-0010-0000-0500-000006000000}" name="CSOW" totalsRowFunction="sum" dataDxfId="112" totalsRowDxfId="113">
      <calculatedColumnFormula>SUM(D11:F14)</calculatedColumnFormula>
    </tableColumn>
    <tableColumn id="7" xr3:uid="{00000000-0010-0000-0500-000007000000}" name="Install" totalsRowFunction="sum" dataDxfId="110" totalsRowDxfId="111">
      <calculatedColumnFormula>H4/60</calculatedColumnFormula>
    </tableColumn>
    <tableColumn id="8" xr3:uid="{00000000-0010-0000-0500-000008000000}" name="PMO" totalsRowFunction="sum" dataDxfId="108" totalsRowDxfId="109">
      <calculatedColumnFormula>I4/60</calculatedColumnFormula>
    </tableColumn>
    <tableColumn id="9" xr3:uid="{00000000-0010-0000-0500-000009000000}" name="Break/Fix" totalsRowFunction="sum" dataDxfId="106" totalsRowDxfId="107">
      <calculatedColumnFormula>J4/60</calculatedColumnFormula>
    </tableColumn>
    <tableColumn id="10" xr3:uid="{00000000-0010-0000-0500-00000A000000}" name="Call Center" totalsRowFunction="sum" dataDxfId="104" totalsRowDxfId="105">
      <calculatedColumnFormula>K4/60</calculatedColumnFormula>
    </tableColumn>
    <tableColumn id="11" xr3:uid="{00000000-0010-0000-0500-00000B000000}" name="CSOW2" totalsRowFunction="custom" dataDxfId="102" totalsRowDxfId="103">
      <calculatedColumnFormula>SUM(Table29[[#This Row],[Install]:[Call Center]])</calculatedColumnFormula>
      <totalsRowFormula>SUBTOTAL(109,Table29[CSOW2])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11" displayName="Table511" ref="B19:E24" totalsRowShown="0" headerRowDxfId="101" headerRowBorderDxfId="100">
  <autoFilter ref="B19:E24" xr:uid="{00000000-0009-0000-0100-000007000000}"/>
  <tableColumns count="4">
    <tableColumn id="1" xr3:uid="{00000000-0010-0000-0600-000001000000}" name="SKU" dataDxfId="99"/>
    <tableColumn id="2" xr3:uid="{00000000-0010-0000-0600-000002000000}" name="Qty" dataDxfId="98"/>
    <tableColumn id="3" xr3:uid="{00000000-0010-0000-0600-000003000000}" name="Integration Cost" dataDxfId="97"/>
    <tableColumn id="4" xr3:uid="{00000000-0010-0000-0600-000004000000}" name="SDaaS" dataDxfId="96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3712" displayName="Table3712" ref="B27:J35" totalsRowCount="1" headerRowBorderDxfId="94" tableBorderDxfId="95" totalsRowBorderDxfId="93">
  <autoFilter ref="B27:J34" xr:uid="{00000000-0009-0000-0100-000008000000}"/>
  <tableColumns count="9">
    <tableColumn id="1" xr3:uid="{00000000-0010-0000-0700-000001000000}" name="SKU" dataDxfId="91" totalsRowDxfId="92"/>
    <tableColumn id="2" xr3:uid="{00000000-0010-0000-0700-000002000000}" name="qty" dataDxfId="89" totalsRowDxfId="90"/>
    <tableColumn id="3" xr3:uid="{00000000-0010-0000-0700-000003000000}" name="Install " dataDxfId="87" totalsRowDxfId="88"/>
    <tableColumn id="4" xr3:uid="{00000000-0010-0000-0700-000004000000}" name="break fix" dataDxfId="85" totalsRowDxfId="86"/>
    <tableColumn id="5" xr3:uid="{00000000-0010-0000-0700-000005000000}" name="call center" dataDxfId="83" totalsRowDxfId="84"/>
    <tableColumn id="6" xr3:uid="{00000000-0010-0000-0700-000006000000}" name="Break fix2" totalsRowDxfId="82"/>
    <tableColumn id="7" xr3:uid="{00000000-0010-0000-0700-000007000000}" name="call center2" dataDxfId="80" totalsRowDxfId="81"/>
    <tableColumn id="8" xr3:uid="{00000000-0010-0000-0700-000008000000}" name="Break/Fix &amp; Call Center Total" dataDxfId="78" totalsRowDxfId="79"/>
    <tableColumn id="9" xr3:uid="{00000000-0010-0000-0700-000009000000}" name="Column1" totalsRowDxfId="7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483" displayName="Table483" ref="B44:L50" totalsRowShown="0" headerRowDxfId="76" tableBorderDxfId="75">
  <autoFilter ref="B44:L50" xr:uid="{00000000-0009-0000-0100-000009000000}"/>
  <tableColumns count="11">
    <tableColumn id="1" xr3:uid="{00000000-0010-0000-0800-000001000000}" name="SKU" dataDxfId="74"/>
    <tableColumn id="2" xr3:uid="{00000000-0010-0000-0800-000002000000}" name="Column2" dataDxfId="73"/>
    <tableColumn id="3" xr3:uid="{00000000-0010-0000-0800-000003000000}" name="Integration" dataDxfId="72"/>
    <tableColumn id="4" xr3:uid="{00000000-0010-0000-0800-000004000000}" name="Delivery" dataDxfId="71"/>
    <tableColumn id="5" xr3:uid="{00000000-0010-0000-0800-000005000000}" name="title 60 months" dataDxfId="70"/>
    <tableColumn id="6" xr3:uid="{00000000-0010-0000-0800-000006000000}" name="CSOW Totals" dataDxfId="69"/>
    <tableColumn id="7" xr3:uid="{00000000-0010-0000-0800-000007000000}" name="Install" dataDxfId="68"/>
    <tableColumn id="8" xr3:uid="{00000000-0010-0000-0800-000008000000}" name="PMO" dataDxfId="67"/>
    <tableColumn id="9" xr3:uid="{00000000-0010-0000-0800-000009000000}" name="Break/Fix" dataDxfId="66"/>
    <tableColumn id="10" xr3:uid="{00000000-0010-0000-0800-00000A000000}" name="Call Center" dataDxfId="65"/>
    <tableColumn id="11" xr3:uid="{00000000-0010-0000-0800-00000B000000}" name="CSOW" dataDxfId="64">
      <calculatedColumnFormula>SUM(Table483[[#This Row],[Install]:[Call Center]])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294" displayName="Table294" ref="B52:L57" totalsRowCount="1" headerRowDxfId="63">
  <autoFilter ref="B52:L56" xr:uid="{00000000-0009-0000-0100-00000A000000}"/>
  <tableColumns count="11">
    <tableColumn id="1" xr3:uid="{00000000-0010-0000-0900-000001000000}" name="Column1" dataDxfId="61" totalsRowDxfId="62"/>
    <tableColumn id="2" xr3:uid="{00000000-0010-0000-0900-000002000000}" name="Column2" dataDxfId="59" totalsRowDxfId="60"/>
    <tableColumn id="3" xr3:uid="{00000000-0010-0000-0900-000003000000}" name="Integration" totalsRowFunction="custom" dataDxfId="57" totalsRowDxfId="58">
      <calculatedColumnFormula>D46/60</calculatedColumnFormula>
      <totalsRowFormula>SUM(Table294[Integration])</totalsRowFormula>
    </tableColumn>
    <tableColumn id="4" xr3:uid="{00000000-0010-0000-0900-000004000000}" name="Delivery" totalsRowFunction="sum" dataDxfId="55" totalsRowDxfId="56">
      <calculatedColumnFormula>E46/60</calculatedColumnFormula>
    </tableColumn>
    <tableColumn id="5" xr3:uid="{00000000-0010-0000-0900-000005000000}" name="title 60 months" totalsRowFunction="sum" dataDxfId="53" totalsRowDxfId="54">
      <calculatedColumnFormula>F46/60</calculatedColumnFormula>
    </tableColumn>
    <tableColumn id="6" xr3:uid="{00000000-0010-0000-0900-000006000000}" name="CSOW" totalsRowFunction="sum" dataDxfId="51" totalsRowDxfId="52">
      <calculatedColumnFormula>SUM(D53:F53)</calculatedColumnFormula>
    </tableColumn>
    <tableColumn id="7" xr3:uid="{00000000-0010-0000-0900-000007000000}" name="Install" totalsRowFunction="sum" dataDxfId="49" totalsRowDxfId="50">
      <calculatedColumnFormula>H46/60</calculatedColumnFormula>
    </tableColumn>
    <tableColumn id="8" xr3:uid="{00000000-0010-0000-0900-000008000000}" name="PMO" totalsRowFunction="sum" dataDxfId="47" totalsRowDxfId="48">
      <calculatedColumnFormula>I46/60</calculatedColumnFormula>
    </tableColumn>
    <tableColumn id="9" xr3:uid="{00000000-0010-0000-0900-000009000000}" name="Break/Fix" totalsRowFunction="sum" dataDxfId="45" totalsRowDxfId="46">
      <calculatedColumnFormula>J46/60</calculatedColumnFormula>
    </tableColumn>
    <tableColumn id="10" xr3:uid="{00000000-0010-0000-0900-00000A000000}" name="Call Center" totalsRowFunction="sum" dataDxfId="43" totalsRowDxfId="44">
      <calculatedColumnFormula>K46/60</calculatedColumnFormula>
    </tableColumn>
    <tableColumn id="11" xr3:uid="{00000000-0010-0000-0900-00000B000000}" name="CSOW2" totalsRowFunction="sum" dataDxfId="41" totalsRowDxfId="42">
      <calculatedColumnFormula>SUM(Table294[[#This Row],[Install]:[Call Center]])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5115" displayName="Table5115" ref="B61:D66" totalsRowShown="0" headerRowDxfId="40" headerRowBorderDxfId="39">
  <autoFilter ref="B61:D66" xr:uid="{00000000-0009-0000-0100-00000B000000}"/>
  <tableColumns count="3">
    <tableColumn id="1" xr3:uid="{00000000-0010-0000-0A00-000001000000}" name="SKU" dataDxfId="38"/>
    <tableColumn id="2" xr3:uid="{00000000-0010-0000-0A00-000002000000}" name="Qty" dataDxfId="37"/>
    <tableColumn id="3" xr3:uid="{00000000-0010-0000-0A00-000003000000}" name="Integration Cost" dataDxfId="36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37126" displayName="Table37126" ref="B69:J76" totalsRowCount="1" headerRowBorderDxfId="34" tableBorderDxfId="35" totalsRowBorderDxfId="33">
  <autoFilter ref="B69:J75" xr:uid="{00000000-0009-0000-0100-00000C000000}"/>
  <tableColumns count="9">
    <tableColumn id="1" xr3:uid="{00000000-0010-0000-0B00-000001000000}" name="SKU" dataDxfId="31" totalsRowDxfId="32"/>
    <tableColumn id="2" xr3:uid="{00000000-0010-0000-0B00-000002000000}" name="qty" dataDxfId="29" totalsRowDxfId="30"/>
    <tableColumn id="3" xr3:uid="{00000000-0010-0000-0B00-000003000000}" name="Install " dataDxfId="27" totalsRowDxfId="28"/>
    <tableColumn id="4" xr3:uid="{00000000-0010-0000-0B00-000004000000}" name="break fix" dataDxfId="25" totalsRowDxfId="26"/>
    <tableColumn id="5" xr3:uid="{00000000-0010-0000-0B00-000005000000}" name="call center" dataDxfId="23" totalsRowDxfId="24"/>
    <tableColumn id="6" xr3:uid="{00000000-0010-0000-0B00-000006000000}" name="Break fix2" dataDxfId="21" totalsRowDxfId="22"/>
    <tableColumn id="7" xr3:uid="{00000000-0010-0000-0B00-000007000000}" name="call center2" dataDxfId="19" totalsRowDxfId="20"/>
    <tableColumn id="8" xr3:uid="{00000000-0010-0000-0B00-000008000000}" name="Break/Fix &amp; Call Center Total" dataDxfId="17" totalsRowDxfId="18"/>
    <tableColumn id="9" xr3:uid="{00000000-0010-0000-0B00-000009000000}" name="Column1" totalsRowDxfId="16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" displayName="Table1" ref="C1:J358" totalsRowShown="0">
  <autoFilter ref="C1:J358" xr:uid="{00000000-0009-0000-0100-00000D000000}"/>
  <tableColumns count="8">
    <tableColumn id="1" xr3:uid="{00000000-0010-0000-0C00-000001000000}" name="Country "/>
    <tableColumn id="2" xr3:uid="{00000000-0010-0000-0C00-000002000000}" name="Currency Code"/>
    <tableColumn id="3" xr3:uid="{00000000-0010-0000-0C00-000003000000}" name="Cost Center Hierarchy"/>
    <tableColumn id="4" xr3:uid="{00000000-0010-0000-0C00-000004000000}" name="Cost Center Name" dataDxfId="3"/>
    <tableColumn id="5" xr3:uid="{00000000-0010-0000-0C00-000005000000}" name="Job Code" dataDxfId="2"/>
    <tableColumn id="6" xr3:uid="{00000000-0010-0000-0C00-000006000000}" name="Job Name"/>
    <tableColumn id="7" xr3:uid="{00000000-0010-0000-0C00-000007000000}" name="Currency Symbol"/>
    <tableColumn id="8" xr3:uid="{00000000-0010-0000-0C00-000008000000}" name="Standard Burden Cost Ra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/>
  </sheetPr>
  <dimension ref="B2:C20"/>
  <sheetViews>
    <sheetView showGridLines="0" workbookViewId="0">
      <selection activeCell="D15" sqref="D15"/>
    </sheetView>
  </sheetViews>
  <sheetFormatPr defaultRowHeight="14.1"/>
  <cols>
    <col min="1" max="1" width="4.625" customWidth="1"/>
    <col min="2" max="2" width="30" customWidth="1"/>
    <col min="3" max="3" width="41.125" customWidth="1"/>
  </cols>
  <sheetData>
    <row r="2" spans="2:3">
      <c r="B2" s="409" t="s">
        <v>0</v>
      </c>
      <c r="C2" s="432"/>
    </row>
    <row r="3" spans="2:3">
      <c r="B3" s="258" t="s">
        <v>1</v>
      </c>
      <c r="C3" s="258" t="s">
        <v>2</v>
      </c>
    </row>
    <row r="4" spans="2:3">
      <c r="B4" s="257" t="s">
        <v>3</v>
      </c>
      <c r="C4" s="277"/>
    </row>
    <row r="5" spans="2:3">
      <c r="B5" s="216" t="s">
        <v>4</v>
      </c>
      <c r="C5" s="242"/>
    </row>
    <row r="6" spans="2:3">
      <c r="B6" s="216" t="s">
        <v>5</v>
      </c>
      <c r="C6" s="242"/>
    </row>
    <row r="7" spans="2:3">
      <c r="B7" s="216" t="s">
        <v>6</v>
      </c>
      <c r="C7" s="242"/>
    </row>
    <row r="8" spans="2:3">
      <c r="B8" s="216" t="s">
        <v>7</v>
      </c>
      <c r="C8" s="242" t="s">
        <v>8</v>
      </c>
    </row>
    <row r="9" spans="2:3">
      <c r="B9" s="216" t="s">
        <v>9</v>
      </c>
      <c r="C9" s="242"/>
    </row>
    <row r="10" spans="2:3">
      <c r="B10" s="216" t="s">
        <v>10</v>
      </c>
      <c r="C10" s="242" t="s">
        <v>11</v>
      </c>
    </row>
    <row r="11" spans="2:3">
      <c r="B11" s="216" t="s">
        <v>12</v>
      </c>
      <c r="C11" s="242" t="s">
        <v>13</v>
      </c>
    </row>
    <row r="12" spans="2:3">
      <c r="B12" s="216" t="s">
        <v>14</v>
      </c>
      <c r="C12" s="242" t="s">
        <v>13</v>
      </c>
    </row>
    <row r="13" spans="2:3">
      <c r="B13" s="216" t="s">
        <v>15</v>
      </c>
      <c r="C13" s="242" t="s">
        <v>13</v>
      </c>
    </row>
    <row r="15" spans="2:3">
      <c r="B15" s="410" t="s">
        <v>16</v>
      </c>
      <c r="C15" s="433"/>
    </row>
    <row r="16" spans="2:3">
      <c r="B16" s="392" t="s">
        <v>17</v>
      </c>
      <c r="C16" s="392"/>
    </row>
    <row r="17" spans="2:2">
      <c r="B17" s="259" t="s">
        <v>18</v>
      </c>
    </row>
    <row r="18" spans="2:2">
      <c r="B18" s="259" t="s">
        <v>19</v>
      </c>
    </row>
    <row r="19" spans="2:2">
      <c r="B19" s="259" t="s">
        <v>20</v>
      </c>
    </row>
    <row r="20" spans="2:2">
      <c r="B20" s="259" t="s">
        <v>21</v>
      </c>
    </row>
  </sheetData>
  <mergeCells count="2">
    <mergeCell ref="B2:C2"/>
    <mergeCell ref="B15:C15"/>
  </mergeCells>
  <conditionalFormatting sqref="C11:C13">
    <cfRule type="cellIs" dxfId="189" priority="1" operator="equal">
      <formula>"DHPROGRAM.ProgramManager"</formula>
    </cfRule>
  </conditionalFormatting>
  <dataValidations count="2">
    <dataValidation type="list" allowBlank="1" showInputMessage="1" showErrorMessage="1" sqref="C13" xr:uid="{00000000-0002-0000-0000-000000000000}">
      <formula1>"&lt;&lt;Select Partner&gt;&gt;,Park Place,Probity,WWT"</formula1>
    </dataValidation>
    <dataValidation type="list" allowBlank="1" showInputMessage="1" showErrorMessage="1" sqref="C11 C12" xr:uid="{00000000-0002-0000-0000-000001000000}">
      <formula1>"&lt;&lt;Select Partner&gt;&gt;,Park Place,Probity,Teceze"</formula1>
    </dataValidation>
  </dataValidations>
  <pageMargins left="0.7" right="0.7" top="0.75" bottom="0.75" header="0.3" footer="0.3"/>
  <headerFooter>
    <oddFooter>&amp;C_x000D_&amp;1#&amp;"Calibri"&amp;10&amp;K008000 GENERAL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/>
  </sheetPr>
  <dimension ref="B2:K56"/>
  <sheetViews>
    <sheetView showGridLines="0" topLeftCell="B1" zoomScale="97" workbookViewId="0">
      <selection activeCell="F54" activeCellId="2" sqref="E38:H40 E45:H50 F54:H56"/>
    </sheetView>
  </sheetViews>
  <sheetFormatPr defaultRowHeight="14.1"/>
  <cols>
    <col min="1" max="1" width="3.875" customWidth="1"/>
    <col min="2" max="2" width="25.5" customWidth="1"/>
    <col min="3" max="3" width="33.375" customWidth="1"/>
    <col min="4" max="4" width="16.375" customWidth="1"/>
    <col min="5" max="5" width="15" bestFit="1" customWidth="1"/>
    <col min="6" max="6" width="20" bestFit="1" customWidth="1"/>
    <col min="7" max="8" width="16.125" bestFit="1" customWidth="1"/>
  </cols>
  <sheetData>
    <row r="2" spans="2:11">
      <c r="B2" s="216" t="s">
        <v>3</v>
      </c>
      <c r="C2" s="396" t="str">
        <f>IF('Estimator Input'!C4="","",'Estimator Input'!C4)</f>
        <v/>
      </c>
      <c r="D2" s="392"/>
      <c r="E2" s="392"/>
      <c r="F2" s="392"/>
      <c r="G2" s="392"/>
      <c r="H2" s="392"/>
      <c r="I2" s="392"/>
      <c r="J2" s="392"/>
      <c r="K2" s="392"/>
    </row>
    <row r="3" spans="2:11">
      <c r="B3" s="216" t="s">
        <v>4</v>
      </c>
      <c r="C3" s="396" t="str">
        <f>IF('Estimator Input'!C5="","",'Estimator Input'!C5)</f>
        <v/>
      </c>
      <c r="D3" s="392"/>
      <c r="E3" s="392"/>
      <c r="F3" s="392"/>
      <c r="G3" s="392"/>
      <c r="H3" s="392"/>
      <c r="I3" s="392"/>
      <c r="J3" s="392"/>
      <c r="K3" s="392"/>
    </row>
    <row r="4" spans="2:11">
      <c r="B4" s="216" t="s">
        <v>5</v>
      </c>
      <c r="C4" s="396" t="str">
        <f>IF('Estimator Input'!C6="","",'Estimator Input'!C6)</f>
        <v/>
      </c>
      <c r="D4" s="392"/>
      <c r="E4" s="392"/>
      <c r="F4" s="392"/>
      <c r="G4" s="392"/>
      <c r="H4" s="392"/>
      <c r="I4" s="392"/>
      <c r="J4" s="392"/>
      <c r="K4" s="392"/>
    </row>
    <row r="5" spans="2:11">
      <c r="B5" s="216" t="s">
        <v>6</v>
      </c>
      <c r="C5" s="396" t="str">
        <f>IF('Estimator Input'!C7="","",'Estimator Input'!C7)</f>
        <v/>
      </c>
      <c r="D5" s="392"/>
      <c r="E5" s="392"/>
      <c r="F5" s="392"/>
      <c r="G5" s="392"/>
      <c r="H5" s="392"/>
      <c r="I5" s="392"/>
      <c r="J5" s="392"/>
      <c r="K5" s="392"/>
    </row>
    <row r="6" spans="2:11">
      <c r="B6" s="216" t="s">
        <v>7</v>
      </c>
      <c r="C6" s="396" t="str">
        <f>IF('Estimator Input'!C8="","",'Estimator Input'!C8)</f>
        <v>&lt;&lt;Select Currency&gt;&gt;</v>
      </c>
      <c r="D6" s="392"/>
      <c r="E6" s="392"/>
      <c r="F6" s="392"/>
      <c r="G6" s="392"/>
      <c r="H6" s="392"/>
      <c r="I6" s="392"/>
      <c r="J6" s="392"/>
      <c r="K6" s="392"/>
    </row>
    <row r="7" spans="2:11" ht="18.75" customHeight="1">
      <c r="B7" s="392"/>
      <c r="C7" s="392"/>
      <c r="D7" s="392"/>
      <c r="E7" s="392"/>
      <c r="F7" s="392"/>
      <c r="G7" s="392"/>
      <c r="H7" s="392"/>
      <c r="I7" s="392"/>
      <c r="J7" s="392"/>
      <c r="K7" s="392"/>
    </row>
    <row r="8" spans="2:11" ht="18" customHeight="1">
      <c r="B8" s="434" t="s">
        <v>22</v>
      </c>
      <c r="C8" s="433"/>
      <c r="D8" s="433"/>
      <c r="E8" s="433"/>
      <c r="F8" s="433"/>
      <c r="G8" s="433"/>
      <c r="H8" s="433"/>
      <c r="I8" s="433"/>
      <c r="J8" s="392"/>
      <c r="K8" s="392"/>
    </row>
    <row r="9" spans="2:11">
      <c r="B9" s="352" t="s">
        <v>23</v>
      </c>
      <c r="C9" s="353" t="s">
        <v>24</v>
      </c>
      <c r="D9" s="352"/>
      <c r="E9" s="352"/>
      <c r="F9" s="352"/>
      <c r="G9" s="352"/>
      <c r="H9" s="352"/>
      <c r="I9" s="352"/>
      <c r="J9" s="392"/>
      <c r="K9" s="392"/>
    </row>
    <row r="10" spans="2:11">
      <c r="B10" s="395" t="s">
        <v>25</v>
      </c>
      <c r="C10" s="395" t="s">
        <v>1</v>
      </c>
      <c r="D10" s="395" t="s">
        <v>26</v>
      </c>
      <c r="E10" s="245" t="s">
        <v>27</v>
      </c>
      <c r="F10" s="245" t="s">
        <v>28</v>
      </c>
      <c r="G10" s="245" t="s">
        <v>29</v>
      </c>
      <c r="H10" s="245" t="s">
        <v>30</v>
      </c>
      <c r="I10" s="245" t="s">
        <v>31</v>
      </c>
      <c r="J10" s="392"/>
      <c r="K10" s="392"/>
    </row>
    <row r="11" spans="2:11">
      <c r="B11" s="396" t="str">
        <f>Summary!B12</f>
        <v>&lt;&lt;Select Partner&gt;&gt;</v>
      </c>
      <c r="C11" s="396" t="s">
        <v>32</v>
      </c>
      <c r="D11" s="396">
        <f>Summary!E12</f>
        <v>1</v>
      </c>
      <c r="E11" s="359">
        <f>Summary!F12</f>
        <v>0</v>
      </c>
      <c r="F11" s="359">
        <f>D11*E11</f>
        <v>0</v>
      </c>
      <c r="G11" s="359">
        <f>Summary!H12</f>
        <v>0</v>
      </c>
      <c r="H11" s="359">
        <f>G11-E11</f>
        <v>0</v>
      </c>
      <c r="I11" s="243" t="e">
        <f>H11/G11</f>
        <v>#DIV/0!</v>
      </c>
      <c r="J11" s="392"/>
      <c r="K11" s="354" t="s">
        <v>33</v>
      </c>
    </row>
    <row r="12" spans="2:11" ht="14.45" customHeight="1" thickBot="1">
      <c r="B12" s="394"/>
      <c r="C12" s="394"/>
      <c r="D12" s="394"/>
      <c r="E12" s="360"/>
      <c r="F12" s="360"/>
      <c r="G12" s="360"/>
      <c r="H12" s="360"/>
      <c r="I12" s="244"/>
      <c r="J12" s="392"/>
      <c r="K12" s="392"/>
    </row>
    <row r="13" spans="2:11" ht="14.45" customHeight="1" thickTop="1">
      <c r="B13" s="412" t="s">
        <v>34</v>
      </c>
      <c r="C13" s="435"/>
      <c r="D13" s="435"/>
      <c r="E13" s="361"/>
      <c r="F13" s="362">
        <f>SUM(F11:F12)</f>
        <v>0</v>
      </c>
      <c r="G13" s="362">
        <f>SUM(G11:G12)</f>
        <v>0</v>
      </c>
      <c r="H13" s="362">
        <f>G13-F13</f>
        <v>0</v>
      </c>
      <c r="I13" s="246" t="e">
        <f>H13/G13</f>
        <v>#DIV/0!</v>
      </c>
      <c r="J13" s="392"/>
      <c r="K13" s="392"/>
    </row>
    <row r="15" spans="2:11" ht="18" customHeight="1">
      <c r="B15" s="434" t="s">
        <v>35</v>
      </c>
      <c r="C15" s="433"/>
      <c r="D15" s="433"/>
      <c r="E15" s="433"/>
      <c r="F15" s="433"/>
      <c r="G15" s="433"/>
      <c r="H15" s="433"/>
      <c r="I15" s="433"/>
      <c r="J15" s="392"/>
      <c r="K15" s="392"/>
    </row>
    <row r="16" spans="2:11">
      <c r="B16" s="352" t="s">
        <v>36</v>
      </c>
      <c r="C16" s="353" t="s">
        <v>37</v>
      </c>
      <c r="D16" s="352"/>
      <c r="E16" s="352"/>
      <c r="F16" s="352"/>
      <c r="G16" s="352"/>
      <c r="H16" s="352"/>
      <c r="I16" s="352"/>
      <c r="J16" s="392"/>
      <c r="K16" s="392"/>
    </row>
    <row r="17" spans="2:9">
      <c r="B17" s="395" t="s">
        <v>38</v>
      </c>
      <c r="C17" s="395" t="s">
        <v>39</v>
      </c>
      <c r="D17" s="395" t="s">
        <v>40</v>
      </c>
      <c r="E17" s="245" t="s">
        <v>27</v>
      </c>
      <c r="F17" s="245" t="s">
        <v>28</v>
      </c>
      <c r="G17" s="245" t="s">
        <v>29</v>
      </c>
      <c r="H17" s="245" t="s">
        <v>30</v>
      </c>
      <c r="I17" s="245" t="s">
        <v>31</v>
      </c>
    </row>
    <row r="18" spans="2:9">
      <c r="B18" s="396" t="str">
        <f>Summary!B17</f>
        <v>&lt;&lt;Select Role&gt;&gt;</v>
      </c>
      <c r="C18" s="396">
        <f>Summary!C17</f>
        <v>0</v>
      </c>
      <c r="D18" s="396">
        <f>IFERROR(Summary!E17,0)</f>
        <v>0</v>
      </c>
      <c r="E18" s="359">
        <f>Summary!F17</f>
        <v>0</v>
      </c>
      <c r="F18" s="359">
        <f>D18*E18</f>
        <v>0</v>
      </c>
      <c r="G18" s="359">
        <f>OLD!I8</f>
        <v>0</v>
      </c>
      <c r="H18" s="359">
        <f>G18-F18</f>
        <v>0</v>
      </c>
      <c r="I18" s="243" t="str">
        <f>IFERROR(H18/G18,"")</f>
        <v/>
      </c>
    </row>
    <row r="19" spans="2:9">
      <c r="B19" s="248" t="str">
        <f>Summary!B22</f>
        <v>&lt;&lt;Select Partner&gt;&gt;</v>
      </c>
      <c r="C19" s="396" t="s">
        <v>41</v>
      </c>
      <c r="D19" s="248">
        <f>Summary!E22</f>
        <v>1</v>
      </c>
      <c r="E19" s="363">
        <f>Summary!F22</f>
        <v>0</v>
      </c>
      <c r="F19" s="363">
        <f>D19*E19</f>
        <v>0</v>
      </c>
      <c r="G19" s="363">
        <f>OLD!J8</f>
        <v>0</v>
      </c>
      <c r="H19" s="359">
        <f>G19-F19</f>
        <v>0</v>
      </c>
      <c r="I19" s="243" t="str">
        <f>IFERROR(H19/G19,"")</f>
        <v/>
      </c>
    </row>
    <row r="20" spans="2:9">
      <c r="B20" s="248" t="str">
        <f>Summary!B23</f>
        <v>&lt;&lt;Select Partner&gt;&gt;</v>
      </c>
      <c r="C20" s="248" t="s">
        <v>42</v>
      </c>
      <c r="D20" s="248">
        <f>Summary!E23</f>
        <v>1</v>
      </c>
      <c r="E20" s="363">
        <f>Summary!F23</f>
        <v>0</v>
      </c>
      <c r="F20" s="363">
        <f>D20*E20</f>
        <v>0</v>
      </c>
      <c r="G20" s="363">
        <f>OLD!K8</f>
        <v>0</v>
      </c>
      <c r="H20" s="359">
        <f>G20-F20</f>
        <v>0</v>
      </c>
      <c r="I20" s="243" t="str">
        <f>IFERROR(H20/G20,"")</f>
        <v/>
      </c>
    </row>
    <row r="21" spans="2:9">
      <c r="B21" s="248" t="s">
        <v>43</v>
      </c>
      <c r="C21" s="248"/>
      <c r="D21" s="248">
        <f>Summary!E24</f>
        <v>1</v>
      </c>
      <c r="E21" s="363">
        <f>Summary!F24</f>
        <v>0</v>
      </c>
      <c r="F21" s="363">
        <f>D21*E21</f>
        <v>0</v>
      </c>
      <c r="G21" s="363">
        <f>OLD!K9</f>
        <v>0</v>
      </c>
      <c r="H21" s="359">
        <f>G21-F21</f>
        <v>0</v>
      </c>
      <c r="I21" s="243" t="str">
        <f>IFERROR(H21/G21,"")</f>
        <v/>
      </c>
    </row>
    <row r="22" spans="2:9" ht="14.45" customHeight="1" thickBot="1">
      <c r="B22" s="394"/>
      <c r="C22" s="394"/>
      <c r="D22" s="394"/>
      <c r="E22" s="360"/>
      <c r="F22" s="360"/>
      <c r="G22" s="360"/>
      <c r="H22" s="360"/>
      <c r="I22" s="244" t="str">
        <f>IFERROR(H22/G22,"")</f>
        <v/>
      </c>
    </row>
    <row r="23" spans="2:9" ht="14.45" customHeight="1" thickTop="1">
      <c r="B23" s="412" t="s">
        <v>34</v>
      </c>
      <c r="C23" s="435"/>
      <c r="D23" s="435"/>
      <c r="E23" s="361"/>
      <c r="F23" s="362">
        <f>SUM(F18:F22)</f>
        <v>0</v>
      </c>
      <c r="G23" s="362">
        <f>SUM(G18:G22)</f>
        <v>0</v>
      </c>
      <c r="H23" s="362">
        <f>G23-F23</f>
        <v>0</v>
      </c>
      <c r="I23" s="246" t="e">
        <f>H23/G23</f>
        <v>#DIV/0!</v>
      </c>
    </row>
    <row r="25" spans="2:9" ht="18" customHeight="1">
      <c r="B25" s="434" t="s">
        <v>44</v>
      </c>
      <c r="C25" s="433"/>
      <c r="D25" s="433"/>
      <c r="E25" s="433"/>
      <c r="F25" s="433"/>
      <c r="G25" s="433"/>
      <c r="H25" s="433"/>
      <c r="I25" s="433"/>
    </row>
    <row r="26" spans="2:9">
      <c r="B26" s="436" t="s">
        <v>1</v>
      </c>
      <c r="C26" s="437"/>
      <c r="D26" s="437"/>
      <c r="E26" s="432"/>
      <c r="F26" s="245" t="s">
        <v>45</v>
      </c>
      <c r="G26" s="245" t="s">
        <v>29</v>
      </c>
      <c r="H26" s="245" t="s">
        <v>30</v>
      </c>
      <c r="I26" s="245" t="s">
        <v>31</v>
      </c>
    </row>
    <row r="27" spans="2:9">
      <c r="B27" s="438" t="s">
        <v>46</v>
      </c>
      <c r="C27" s="437"/>
      <c r="D27" s="437"/>
      <c r="E27" s="432"/>
      <c r="F27" s="359">
        <f>Summary!G8</f>
        <v>0</v>
      </c>
      <c r="G27" s="359">
        <f>SUM(OLD!D8,OLD!E8,OLD!F8)</f>
        <v>0</v>
      </c>
      <c r="H27" s="359">
        <f>G27-F27</f>
        <v>0</v>
      </c>
      <c r="I27" s="243" t="e">
        <f>H27/G27</f>
        <v>#DIV/0!</v>
      </c>
    </row>
    <row r="28" spans="2:9" ht="14.45" customHeight="1" thickBot="1">
      <c r="B28" s="439"/>
      <c r="C28" s="440"/>
      <c r="D28" s="440"/>
      <c r="E28" s="441"/>
      <c r="F28" s="360"/>
      <c r="G28" s="360"/>
      <c r="H28" s="360"/>
      <c r="I28" s="244"/>
    </row>
    <row r="29" spans="2:9" ht="14.45" customHeight="1" thickTop="1">
      <c r="B29" s="442" t="s">
        <v>34</v>
      </c>
      <c r="C29" s="435"/>
      <c r="D29" s="435"/>
      <c r="E29" s="443"/>
      <c r="F29" s="362">
        <f>SUM(F27:F28)</f>
        <v>0</v>
      </c>
      <c r="G29" s="362">
        <f>SUM(G27:G28)</f>
        <v>0</v>
      </c>
      <c r="H29" s="362">
        <f>G29-F29</f>
        <v>0</v>
      </c>
      <c r="I29" s="246" t="e">
        <f>H29/G29</f>
        <v>#DIV/0!</v>
      </c>
    </row>
    <row r="32" spans="2:9">
      <c r="B32" s="411" t="s">
        <v>47</v>
      </c>
      <c r="C32" s="433"/>
      <c r="D32" s="433"/>
      <c r="E32" s="433"/>
      <c r="F32" s="433"/>
      <c r="G32" s="433"/>
      <c r="H32" s="433"/>
      <c r="I32" s="433"/>
    </row>
    <row r="33" spans="2:9">
      <c r="B33" s="433"/>
      <c r="C33" s="433"/>
      <c r="D33" s="433"/>
      <c r="E33" s="433"/>
      <c r="F33" s="433"/>
      <c r="G33" s="433"/>
      <c r="H33" s="433"/>
      <c r="I33" s="433"/>
    </row>
    <row r="35" spans="2:9" ht="18" customHeight="1">
      <c r="B35" s="434" t="s">
        <v>22</v>
      </c>
      <c r="C35" s="433"/>
      <c r="D35" s="433"/>
      <c r="E35" s="433"/>
      <c r="F35" s="433"/>
      <c r="G35" s="433"/>
      <c r="H35" s="433"/>
      <c r="I35" s="433"/>
    </row>
    <row r="36" spans="2:9">
      <c r="B36" s="352" t="s">
        <v>23</v>
      </c>
      <c r="C36" s="358" t="s">
        <v>24</v>
      </c>
      <c r="D36" s="352"/>
      <c r="E36" s="352"/>
      <c r="F36" s="352"/>
      <c r="G36" s="352"/>
      <c r="H36" s="352"/>
      <c r="I36" s="352"/>
    </row>
    <row r="37" spans="2:9">
      <c r="B37" s="395" t="s">
        <v>25</v>
      </c>
      <c r="C37" s="395" t="s">
        <v>1</v>
      </c>
      <c r="D37" s="395" t="s">
        <v>26</v>
      </c>
      <c r="E37" s="245" t="s">
        <v>48</v>
      </c>
      <c r="F37" s="245" t="s">
        <v>49</v>
      </c>
      <c r="G37" s="245" t="s">
        <v>50</v>
      </c>
      <c r="H37" s="245" t="s">
        <v>51</v>
      </c>
      <c r="I37" s="245" t="s">
        <v>31</v>
      </c>
    </row>
    <row r="38" spans="2:9">
      <c r="B38" s="396" t="str">
        <f>Summary!B12</f>
        <v>&lt;&lt;Select Partner&gt;&gt;</v>
      </c>
      <c r="C38" s="396" t="s">
        <v>32</v>
      </c>
      <c r="D38" s="396">
        <f>Summary!E12</f>
        <v>1</v>
      </c>
      <c r="E38" s="334">
        <f>E11*'Estimator Input'!$C$9</f>
        <v>0</v>
      </c>
      <c r="F38" s="334">
        <f>F11*'Estimator Input'!$C$9</f>
        <v>0</v>
      </c>
      <c r="G38" s="334">
        <f>G11*'Estimator Input'!$C$9</f>
        <v>0</v>
      </c>
      <c r="H38" s="334">
        <f>H11*'Estimator Input'!$C$9</f>
        <v>0</v>
      </c>
      <c r="I38" s="243" t="e">
        <f>H38/G38</f>
        <v>#DIV/0!</v>
      </c>
    </row>
    <row r="39" spans="2:9" ht="14.45" customHeight="1" thickBot="1">
      <c r="B39" s="394"/>
      <c r="C39" s="394"/>
      <c r="D39" s="394"/>
      <c r="E39" s="247"/>
      <c r="F39" s="247"/>
      <c r="G39" s="247"/>
      <c r="H39" s="247"/>
      <c r="I39" s="244"/>
    </row>
    <row r="40" spans="2:9" ht="14.45" customHeight="1" thickTop="1">
      <c r="B40" s="412" t="s">
        <v>34</v>
      </c>
      <c r="C40" s="435"/>
      <c r="D40" s="435"/>
      <c r="E40" s="357"/>
      <c r="F40" s="335">
        <f>F13*'Estimator Input'!$C$9</f>
        <v>0</v>
      </c>
      <c r="G40" s="335">
        <f>G13*'Estimator Input'!$C$9</f>
        <v>0</v>
      </c>
      <c r="H40" s="335">
        <f>H13*'Estimator Input'!$C$9</f>
        <v>0</v>
      </c>
      <c r="I40" s="246" t="e">
        <f>H40/G40</f>
        <v>#DIV/0!</v>
      </c>
    </row>
    <row r="42" spans="2:9" ht="18" customHeight="1">
      <c r="B42" s="434" t="s">
        <v>35</v>
      </c>
      <c r="C42" s="433"/>
      <c r="D42" s="433"/>
      <c r="E42" s="433"/>
      <c r="F42" s="433"/>
      <c r="G42" s="433"/>
      <c r="H42" s="433"/>
      <c r="I42" s="433"/>
    </row>
    <row r="43" spans="2:9">
      <c r="B43" s="352" t="s">
        <v>36</v>
      </c>
      <c r="C43" s="358" t="s">
        <v>37</v>
      </c>
      <c r="D43" s="352"/>
      <c r="E43" s="352"/>
      <c r="F43" s="352"/>
      <c r="G43" s="352"/>
      <c r="H43" s="352"/>
      <c r="I43" s="352"/>
    </row>
    <row r="44" spans="2:9">
      <c r="B44" s="395" t="s">
        <v>38</v>
      </c>
      <c r="C44" s="395" t="s">
        <v>39</v>
      </c>
      <c r="D44" s="395" t="s">
        <v>40</v>
      </c>
      <c r="E44" s="245" t="s">
        <v>48</v>
      </c>
      <c r="F44" s="245" t="s">
        <v>49</v>
      </c>
      <c r="G44" s="245" t="s">
        <v>50</v>
      </c>
      <c r="H44" s="245" t="s">
        <v>51</v>
      </c>
      <c r="I44" s="245" t="s">
        <v>31</v>
      </c>
    </row>
    <row r="45" spans="2:9">
      <c r="B45" s="396" t="str">
        <f>Summary!B17</f>
        <v>&lt;&lt;Select Role&gt;&gt;</v>
      </c>
      <c r="C45" s="396">
        <f>Summary!C17</f>
        <v>0</v>
      </c>
      <c r="D45" s="396" t="e">
        <f>Summary!E17</f>
        <v>#DIV/0!</v>
      </c>
      <c r="E45" s="334">
        <f>E18*'Estimator Input'!$C$9</f>
        <v>0</v>
      </c>
      <c r="F45" s="334">
        <f>F18*'Estimator Input'!$C$9</f>
        <v>0</v>
      </c>
      <c r="G45" s="334">
        <f>G18*'Estimator Input'!$C$9</f>
        <v>0</v>
      </c>
      <c r="H45" s="334">
        <f>H18*'Estimator Input'!$C$9</f>
        <v>0</v>
      </c>
      <c r="I45" s="243" t="str">
        <f>IFERROR(H45/G45,"")</f>
        <v/>
      </c>
    </row>
    <row r="46" spans="2:9">
      <c r="B46" s="248" t="str">
        <f>Summary!B22</f>
        <v>&lt;&lt;Select Partner&gt;&gt;</v>
      </c>
      <c r="C46" s="396" t="s">
        <v>41</v>
      </c>
      <c r="D46" s="248">
        <f>Summary!E22</f>
        <v>1</v>
      </c>
      <c r="E46" s="334">
        <f>E19*'Estimator Input'!$C$9</f>
        <v>0</v>
      </c>
      <c r="F46" s="334">
        <f>F19*'Estimator Input'!$C$9</f>
        <v>0</v>
      </c>
      <c r="G46" s="334">
        <f>G19*'Estimator Input'!$C$9</f>
        <v>0</v>
      </c>
      <c r="H46" s="334">
        <f>H19*'Estimator Input'!$C$9</f>
        <v>0</v>
      </c>
      <c r="I46" s="243" t="str">
        <f>IFERROR(H46/G46,"")</f>
        <v/>
      </c>
    </row>
    <row r="47" spans="2:9">
      <c r="B47" s="248" t="str">
        <f>Summary!B23</f>
        <v>&lt;&lt;Select Partner&gt;&gt;</v>
      </c>
      <c r="C47" s="248" t="s">
        <v>42</v>
      </c>
      <c r="D47" s="248">
        <f>Summary!E23</f>
        <v>1</v>
      </c>
      <c r="E47" s="334">
        <f>E20*'Estimator Input'!$C$9</f>
        <v>0</v>
      </c>
      <c r="F47" s="334">
        <f>F20*'Estimator Input'!$C$9</f>
        <v>0</v>
      </c>
      <c r="G47" s="334">
        <f>G20*'Estimator Input'!$C$9</f>
        <v>0</v>
      </c>
      <c r="H47" s="334">
        <f>H20*'Estimator Input'!$C$9</f>
        <v>0</v>
      </c>
      <c r="I47" s="243" t="str">
        <f>IFERROR(H47/G47,"")</f>
        <v/>
      </c>
    </row>
    <row r="48" spans="2:9">
      <c r="B48" s="248" t="s">
        <v>43</v>
      </c>
      <c r="C48" s="248"/>
      <c r="D48" s="248">
        <f>Summary!E24</f>
        <v>1</v>
      </c>
      <c r="E48" s="334">
        <f>E21*'Estimator Input'!$C$9</f>
        <v>0</v>
      </c>
      <c r="F48" s="334">
        <f>F21*'Estimator Input'!$C$9</f>
        <v>0</v>
      </c>
      <c r="G48" s="334">
        <f>G21*'Estimator Input'!$C$9</f>
        <v>0</v>
      </c>
      <c r="H48" s="334">
        <f>H21*'Estimator Input'!$C$9</f>
        <v>0</v>
      </c>
      <c r="I48" s="243" t="str">
        <f>IFERROR(H48/G48,"")</f>
        <v/>
      </c>
    </row>
    <row r="49" spans="2:9" ht="14.45" customHeight="1" thickBot="1">
      <c r="B49" s="394"/>
      <c r="C49" s="394"/>
      <c r="D49" s="394"/>
      <c r="E49" s="247"/>
      <c r="F49" s="247"/>
      <c r="G49" s="247"/>
      <c r="H49" s="247"/>
      <c r="I49" s="244" t="str">
        <f>IFERROR(H49/G49,"")</f>
        <v/>
      </c>
    </row>
    <row r="50" spans="2:9" ht="14.45" customHeight="1" thickTop="1">
      <c r="B50" s="412" t="s">
        <v>34</v>
      </c>
      <c r="C50" s="435"/>
      <c r="D50" s="435"/>
      <c r="E50" s="357"/>
      <c r="F50" s="335">
        <f>F23*'Estimator Input'!$C$9</f>
        <v>0</v>
      </c>
      <c r="G50" s="335">
        <f>G23*'Estimator Input'!$C$9</f>
        <v>0</v>
      </c>
      <c r="H50" s="335">
        <f>H23*'Estimator Input'!$C$9</f>
        <v>0</v>
      </c>
      <c r="I50" s="246" t="e">
        <f>H50/G50</f>
        <v>#DIV/0!</v>
      </c>
    </row>
    <row r="52" spans="2:9" ht="18" customHeight="1">
      <c r="B52" s="434" t="s">
        <v>44</v>
      </c>
      <c r="C52" s="433"/>
      <c r="D52" s="433"/>
      <c r="E52" s="433"/>
      <c r="F52" s="433"/>
      <c r="G52" s="433"/>
      <c r="H52" s="433"/>
      <c r="I52" s="433"/>
    </row>
    <row r="53" spans="2:9">
      <c r="B53" s="436" t="s">
        <v>1</v>
      </c>
      <c r="C53" s="437"/>
      <c r="D53" s="437"/>
      <c r="E53" s="432"/>
      <c r="F53" s="245" t="s">
        <v>52</v>
      </c>
      <c r="G53" s="245" t="s">
        <v>50</v>
      </c>
      <c r="H53" s="245" t="s">
        <v>51</v>
      </c>
      <c r="I53" s="245" t="s">
        <v>31</v>
      </c>
    </row>
    <row r="54" spans="2:9">
      <c r="B54" s="438" t="s">
        <v>46</v>
      </c>
      <c r="C54" s="437"/>
      <c r="D54" s="437"/>
      <c r="E54" s="432"/>
      <c r="F54" s="334">
        <f>F27*'Estimator Input'!$C$9</f>
        <v>0</v>
      </c>
      <c r="G54" s="334">
        <f>G27*'Estimator Input'!$C$9</f>
        <v>0</v>
      </c>
      <c r="H54" s="334">
        <f>H27*'Estimator Input'!$C$9</f>
        <v>0</v>
      </c>
      <c r="I54" s="243" t="e">
        <f>H54/G54</f>
        <v>#DIV/0!</v>
      </c>
    </row>
    <row r="55" spans="2:9" ht="14.45" customHeight="1" thickBot="1">
      <c r="B55" s="439"/>
      <c r="C55" s="440"/>
      <c r="D55" s="440"/>
      <c r="E55" s="441"/>
      <c r="F55" s="247"/>
      <c r="G55" s="247"/>
      <c r="H55" s="247"/>
      <c r="I55" s="244"/>
    </row>
    <row r="56" spans="2:9" ht="14.45" customHeight="1" thickTop="1">
      <c r="B56" s="442" t="s">
        <v>34</v>
      </c>
      <c r="C56" s="435"/>
      <c r="D56" s="435"/>
      <c r="E56" s="443"/>
      <c r="F56" s="335">
        <f>F29*'Estimator Input'!$C$9</f>
        <v>0</v>
      </c>
      <c r="G56" s="335">
        <f>G29*'Estimator Input'!$C$9</f>
        <v>0</v>
      </c>
      <c r="H56" s="335">
        <f>H29*'Estimator Input'!$C$9</f>
        <v>0</v>
      </c>
      <c r="I56" s="246" t="e">
        <f>H56/G56</f>
        <v>#DIV/0!</v>
      </c>
    </row>
  </sheetData>
  <mergeCells count="19">
    <mergeCell ref="B54:E54"/>
    <mergeCell ref="B42:I42"/>
    <mergeCell ref="B40:D40"/>
    <mergeCell ref="B8:I8"/>
    <mergeCell ref="B32:I33"/>
    <mergeCell ref="B27:E27"/>
    <mergeCell ref="B56:E56"/>
    <mergeCell ref="B50:D50"/>
    <mergeCell ref="B15:I15"/>
    <mergeCell ref="B53:E53"/>
    <mergeCell ref="B29:E29"/>
    <mergeCell ref="B28:E28"/>
    <mergeCell ref="B35:I35"/>
    <mergeCell ref="B25:I25"/>
    <mergeCell ref="B23:D23"/>
    <mergeCell ref="B13:D13"/>
    <mergeCell ref="B55:E55"/>
    <mergeCell ref="B26:E26"/>
    <mergeCell ref="B52:I52"/>
  </mergeCells>
  <pageMargins left="0.7" right="0.7" top="0.75" bottom="0.75" header="0.3" footer="0.3"/>
  <headerFooter>
    <oddFooter>&amp;C_x000D_&amp;1#&amp;"Calibri"&amp;10&amp;K008000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P64"/>
  <sheetViews>
    <sheetView tabSelected="1" workbookViewId="0">
      <selection activeCell="F40" sqref="F40"/>
    </sheetView>
  </sheetViews>
  <sheetFormatPr defaultColWidth="8.875" defaultRowHeight="14.1"/>
  <cols>
    <col min="1" max="1" width="27.5" customWidth="1"/>
    <col min="2" max="2" width="12.625" style="86" bestFit="1" customWidth="1"/>
    <col min="3" max="3" width="23" style="86" customWidth="1"/>
    <col min="4" max="4" width="19.875" bestFit="1" customWidth="1"/>
    <col min="5" max="5" width="16.625" bestFit="1" customWidth="1"/>
    <col min="6" max="6" width="16.5" bestFit="1" customWidth="1"/>
    <col min="7" max="7" width="23" customWidth="1"/>
    <col min="8" max="8" width="29.125" style="85" bestFit="1" customWidth="1"/>
    <col min="9" max="9" width="21.5" style="85" customWidth="1"/>
    <col min="10" max="10" width="21.625" style="85" bestFit="1" customWidth="1"/>
    <col min="11" max="11" width="16.125" bestFit="1" customWidth="1"/>
    <col min="12" max="12" width="10.875" bestFit="1" customWidth="1"/>
    <col min="13" max="14" width="16.125" bestFit="1" customWidth="1"/>
    <col min="15" max="15" width="15.375" bestFit="1" customWidth="1"/>
    <col min="16" max="16" width="10.875" bestFit="1" customWidth="1"/>
    <col min="17" max="17" width="10.875" customWidth="1"/>
    <col min="18" max="18" width="9.625" bestFit="1" customWidth="1"/>
    <col min="19" max="19" width="9.875" bestFit="1" customWidth="1"/>
    <col min="20" max="20" width="17.5" bestFit="1" customWidth="1"/>
    <col min="21" max="21" width="18.5" bestFit="1" customWidth="1"/>
    <col min="22" max="22" width="10.875" bestFit="1" customWidth="1"/>
    <col min="25" max="25" width="12.125" bestFit="1" customWidth="1"/>
  </cols>
  <sheetData>
    <row r="1" spans="1:16" ht="14.45" customHeight="1" thickBot="1">
      <c r="A1" s="391" t="s">
        <v>53</v>
      </c>
      <c r="B1" s="390" t="s">
        <v>54</v>
      </c>
      <c r="C1" s="132" t="s">
        <v>55</v>
      </c>
      <c r="D1" s="133" t="s">
        <v>56</v>
      </c>
      <c r="E1" s="133" t="s">
        <v>57</v>
      </c>
      <c r="F1" s="133" t="s">
        <v>58</v>
      </c>
      <c r="G1" s="132" t="s">
        <v>59</v>
      </c>
      <c r="H1" s="133" t="s">
        <v>60</v>
      </c>
      <c r="I1" s="133" t="s">
        <v>61</v>
      </c>
      <c r="J1" s="133" t="s">
        <v>62</v>
      </c>
      <c r="K1" s="134" t="s">
        <v>63</v>
      </c>
      <c r="L1" s="415" t="s">
        <v>64</v>
      </c>
      <c r="M1" s="444"/>
      <c r="N1" s="444"/>
      <c r="O1" s="444"/>
      <c r="P1" s="445"/>
    </row>
    <row r="2" spans="1:16">
      <c r="A2" s="99"/>
      <c r="B2" s="100" t="s">
        <v>26</v>
      </c>
      <c r="C2" s="101" t="s">
        <v>65</v>
      </c>
      <c r="D2" s="102" t="s">
        <v>56</v>
      </c>
      <c r="E2" s="103" t="s">
        <v>57</v>
      </c>
      <c r="F2" s="104" t="s">
        <v>58</v>
      </c>
      <c r="G2" s="105"/>
      <c r="H2" s="106" t="s">
        <v>60</v>
      </c>
      <c r="I2" s="107" t="s">
        <v>61</v>
      </c>
      <c r="J2" s="107" t="s">
        <v>66</v>
      </c>
      <c r="K2" s="389"/>
      <c r="L2" s="407" t="s">
        <v>67</v>
      </c>
      <c r="M2" s="407" t="s">
        <v>68</v>
      </c>
      <c r="N2" s="407" t="s">
        <v>69</v>
      </c>
      <c r="O2" s="407" t="s">
        <v>70</v>
      </c>
      <c r="P2" s="388" t="s">
        <v>71</v>
      </c>
    </row>
    <row r="3" spans="1:16">
      <c r="A3" s="108" t="s">
        <v>72</v>
      </c>
      <c r="B3" s="109">
        <v>0</v>
      </c>
      <c r="C3" s="110">
        <f t="shared" ref="C3:C13" si="0">SUM(0*60*B3)</f>
        <v>0</v>
      </c>
      <c r="D3" s="111">
        <f t="shared" ref="D3:D13" si="1">SUM(0*B3*60)</f>
        <v>0</v>
      </c>
      <c r="E3" s="112">
        <f t="shared" ref="E3:E13" si="2">SUM(0*60*B3)</f>
        <v>0</v>
      </c>
      <c r="F3" s="113">
        <f t="shared" ref="F3:F13" si="3">SUM(C3:E3)</f>
        <v>0</v>
      </c>
      <c r="G3" s="136">
        <f t="shared" ref="G3:G13" si="4">SUM(0*B3*60)</f>
        <v>0</v>
      </c>
      <c r="H3" s="115">
        <f t="shared" ref="H3:H13" si="5">0*60*B3</f>
        <v>0</v>
      </c>
      <c r="I3" s="114">
        <f t="shared" ref="I3:I13" si="6">0*60*B3</f>
        <v>0</v>
      </c>
      <c r="J3" s="114">
        <f t="shared" ref="J3:J13" si="7">0*60*B3</f>
        <v>0</v>
      </c>
      <c r="K3" s="119">
        <f>SUM(Table487[[#This Row],[Install]:[Call Center]])</f>
        <v>0</v>
      </c>
      <c r="L3" s="401">
        <f t="shared" ref="L3:L13" si="8">SUM(F3,K3)</f>
        <v>0</v>
      </c>
      <c r="M3" s="401">
        <f t="shared" ref="M3:M13" si="9">L3/60</f>
        <v>0</v>
      </c>
      <c r="N3" s="401" t="e">
        <f t="shared" ref="N3:N13" si="10">M3/B3</f>
        <v>#DIV/0!</v>
      </c>
      <c r="O3" s="98">
        <f>0</f>
        <v>0</v>
      </c>
      <c r="P3" s="387" t="e">
        <f t="shared" ref="P3:P13" si="11">N3-O3</f>
        <v>#DIV/0!</v>
      </c>
    </row>
    <row r="4" spans="1:16">
      <c r="A4" s="108" t="s">
        <v>73</v>
      </c>
      <c r="B4" s="109">
        <v>0</v>
      </c>
      <c r="C4" s="110">
        <f t="shared" si="0"/>
        <v>0</v>
      </c>
      <c r="D4" s="111">
        <f t="shared" si="1"/>
        <v>0</v>
      </c>
      <c r="E4" s="112">
        <f t="shared" si="2"/>
        <v>0</v>
      </c>
      <c r="F4" s="113">
        <f t="shared" si="3"/>
        <v>0</v>
      </c>
      <c r="G4" s="136">
        <f t="shared" si="4"/>
        <v>0</v>
      </c>
      <c r="H4" s="115">
        <f t="shared" si="5"/>
        <v>0</v>
      </c>
      <c r="I4" s="114">
        <f t="shared" si="6"/>
        <v>0</v>
      </c>
      <c r="J4" s="114">
        <f t="shared" si="7"/>
        <v>0</v>
      </c>
      <c r="K4" s="119">
        <f>SUM(Table487[[#This Row],[Install]:[Call Center]])</f>
        <v>0</v>
      </c>
      <c r="L4" s="401">
        <f t="shared" si="8"/>
        <v>0</v>
      </c>
      <c r="M4" s="401">
        <f t="shared" si="9"/>
        <v>0</v>
      </c>
      <c r="N4" s="401" t="e">
        <f t="shared" si="10"/>
        <v>#DIV/0!</v>
      </c>
      <c r="O4" s="98">
        <f>0</f>
        <v>0</v>
      </c>
      <c r="P4" s="387" t="e">
        <f t="shared" si="11"/>
        <v>#DIV/0!</v>
      </c>
    </row>
    <row r="5" spans="1:16">
      <c r="A5" s="108" t="s">
        <v>74</v>
      </c>
      <c r="B5" s="109">
        <v>0</v>
      </c>
      <c r="C5" s="110">
        <f t="shared" si="0"/>
        <v>0</v>
      </c>
      <c r="D5" s="111">
        <f t="shared" si="1"/>
        <v>0</v>
      </c>
      <c r="E5" s="112">
        <f t="shared" si="2"/>
        <v>0</v>
      </c>
      <c r="F5" s="113">
        <f t="shared" si="3"/>
        <v>0</v>
      </c>
      <c r="G5" s="136">
        <f t="shared" si="4"/>
        <v>0</v>
      </c>
      <c r="H5" s="115">
        <f t="shared" si="5"/>
        <v>0</v>
      </c>
      <c r="I5" s="114">
        <f t="shared" si="6"/>
        <v>0</v>
      </c>
      <c r="J5" s="114">
        <f t="shared" si="7"/>
        <v>0</v>
      </c>
      <c r="K5" s="119">
        <f>SUM(Table487[[#This Row],[Install]:[Call Center]])</f>
        <v>0</v>
      </c>
      <c r="L5" s="401">
        <f t="shared" si="8"/>
        <v>0</v>
      </c>
      <c r="M5" s="401">
        <f t="shared" si="9"/>
        <v>0</v>
      </c>
      <c r="N5" s="401" t="e">
        <f t="shared" si="10"/>
        <v>#DIV/0!</v>
      </c>
      <c r="O5" s="98">
        <f>0</f>
        <v>0</v>
      </c>
      <c r="P5" s="387" t="e">
        <f t="shared" si="11"/>
        <v>#DIV/0!</v>
      </c>
    </row>
    <row r="6" spans="1:16">
      <c r="A6" s="108" t="s">
        <v>75</v>
      </c>
      <c r="B6" s="109">
        <v>0</v>
      </c>
      <c r="C6" s="110">
        <f t="shared" si="0"/>
        <v>0</v>
      </c>
      <c r="D6" s="111">
        <f t="shared" si="1"/>
        <v>0</v>
      </c>
      <c r="E6" s="112">
        <f t="shared" si="2"/>
        <v>0</v>
      </c>
      <c r="F6" s="113">
        <f t="shared" si="3"/>
        <v>0</v>
      </c>
      <c r="G6" s="136">
        <f t="shared" si="4"/>
        <v>0</v>
      </c>
      <c r="H6" s="115">
        <f t="shared" si="5"/>
        <v>0</v>
      </c>
      <c r="I6" s="114">
        <f t="shared" si="6"/>
        <v>0</v>
      </c>
      <c r="J6" s="114">
        <f t="shared" si="7"/>
        <v>0</v>
      </c>
      <c r="K6" s="119">
        <f>SUM(Table487[[#This Row],[Install]:[Call Center]])</f>
        <v>0</v>
      </c>
      <c r="L6" s="401">
        <f t="shared" si="8"/>
        <v>0</v>
      </c>
      <c r="M6" s="401">
        <f t="shared" si="9"/>
        <v>0</v>
      </c>
      <c r="N6" s="401" t="e">
        <f t="shared" si="10"/>
        <v>#DIV/0!</v>
      </c>
      <c r="O6" s="98">
        <f>0</f>
        <v>0</v>
      </c>
      <c r="P6" s="387" t="e">
        <f t="shared" si="11"/>
        <v>#DIV/0!</v>
      </c>
    </row>
    <row r="7" spans="1:16">
      <c r="A7" s="108" t="s">
        <v>76</v>
      </c>
      <c r="B7" s="109">
        <v>0</v>
      </c>
      <c r="C7" s="110">
        <f t="shared" si="0"/>
        <v>0</v>
      </c>
      <c r="D7" s="111">
        <f t="shared" si="1"/>
        <v>0</v>
      </c>
      <c r="E7" s="112">
        <f t="shared" si="2"/>
        <v>0</v>
      </c>
      <c r="F7" s="113">
        <f t="shared" si="3"/>
        <v>0</v>
      </c>
      <c r="G7" s="136">
        <f t="shared" si="4"/>
        <v>0</v>
      </c>
      <c r="H7" s="115">
        <f t="shared" si="5"/>
        <v>0</v>
      </c>
      <c r="I7" s="114">
        <f t="shared" si="6"/>
        <v>0</v>
      </c>
      <c r="J7" s="114">
        <f t="shared" si="7"/>
        <v>0</v>
      </c>
      <c r="K7" s="119">
        <f>SUM(Table487[[#This Row],[Install]:[Call Center]])</f>
        <v>0</v>
      </c>
      <c r="L7" s="401">
        <f t="shared" si="8"/>
        <v>0</v>
      </c>
      <c r="M7" s="401">
        <f t="shared" si="9"/>
        <v>0</v>
      </c>
      <c r="N7" s="401" t="e">
        <f t="shared" si="10"/>
        <v>#DIV/0!</v>
      </c>
      <c r="O7" s="98">
        <f>0</f>
        <v>0</v>
      </c>
      <c r="P7" s="387" t="e">
        <f t="shared" si="11"/>
        <v>#DIV/0!</v>
      </c>
    </row>
    <row r="8" spans="1:16">
      <c r="A8" s="108" t="s">
        <v>77</v>
      </c>
      <c r="B8" s="109">
        <v>0</v>
      </c>
      <c r="C8" s="110">
        <f t="shared" si="0"/>
        <v>0</v>
      </c>
      <c r="D8" s="111">
        <f t="shared" si="1"/>
        <v>0</v>
      </c>
      <c r="E8" s="112">
        <f t="shared" si="2"/>
        <v>0</v>
      </c>
      <c r="F8" s="113">
        <f t="shared" si="3"/>
        <v>0</v>
      </c>
      <c r="G8" s="136">
        <f t="shared" si="4"/>
        <v>0</v>
      </c>
      <c r="H8" s="115">
        <f t="shared" si="5"/>
        <v>0</v>
      </c>
      <c r="I8" s="114">
        <f t="shared" si="6"/>
        <v>0</v>
      </c>
      <c r="J8" s="114">
        <f t="shared" si="7"/>
        <v>0</v>
      </c>
      <c r="K8" s="119">
        <f>SUM(Table487[[#This Row],[Install]:[Call Center]])</f>
        <v>0</v>
      </c>
      <c r="L8" s="401">
        <f t="shared" si="8"/>
        <v>0</v>
      </c>
      <c r="M8" s="401">
        <f t="shared" si="9"/>
        <v>0</v>
      </c>
      <c r="N8" s="401" t="e">
        <f t="shared" si="10"/>
        <v>#DIV/0!</v>
      </c>
      <c r="O8" s="98">
        <f>0</f>
        <v>0</v>
      </c>
      <c r="P8" s="387" t="e">
        <f t="shared" si="11"/>
        <v>#DIV/0!</v>
      </c>
    </row>
    <row r="9" spans="1:16">
      <c r="A9" s="108" t="s">
        <v>78</v>
      </c>
      <c r="B9" s="109">
        <v>0</v>
      </c>
      <c r="C9" s="110">
        <f t="shared" si="0"/>
        <v>0</v>
      </c>
      <c r="D9" s="111">
        <f t="shared" si="1"/>
        <v>0</v>
      </c>
      <c r="E9" s="112">
        <f t="shared" si="2"/>
        <v>0</v>
      </c>
      <c r="F9" s="113">
        <f t="shared" si="3"/>
        <v>0</v>
      </c>
      <c r="G9" s="136">
        <f t="shared" si="4"/>
        <v>0</v>
      </c>
      <c r="H9" s="115">
        <f t="shared" si="5"/>
        <v>0</v>
      </c>
      <c r="I9" s="114">
        <f t="shared" si="6"/>
        <v>0</v>
      </c>
      <c r="J9" s="114">
        <f t="shared" si="7"/>
        <v>0</v>
      </c>
      <c r="K9" s="119">
        <f>SUM(Table487[[#This Row],[Install]:[Call Center]])</f>
        <v>0</v>
      </c>
      <c r="L9" s="401">
        <f t="shared" si="8"/>
        <v>0</v>
      </c>
      <c r="M9" s="401">
        <f t="shared" si="9"/>
        <v>0</v>
      </c>
      <c r="N9" s="401" t="e">
        <f t="shared" si="10"/>
        <v>#DIV/0!</v>
      </c>
      <c r="O9" s="98">
        <f>0</f>
        <v>0</v>
      </c>
      <c r="P9" s="387" t="e">
        <f t="shared" si="11"/>
        <v>#DIV/0!</v>
      </c>
    </row>
    <row r="10" spans="1:16">
      <c r="A10" s="108" t="s">
        <v>79</v>
      </c>
      <c r="B10" s="109">
        <v>0</v>
      </c>
      <c r="C10" s="110">
        <f t="shared" si="0"/>
        <v>0</v>
      </c>
      <c r="D10" s="111">
        <f t="shared" si="1"/>
        <v>0</v>
      </c>
      <c r="E10" s="112">
        <f t="shared" si="2"/>
        <v>0</v>
      </c>
      <c r="F10" s="113">
        <f t="shared" si="3"/>
        <v>0</v>
      </c>
      <c r="G10" s="136">
        <f t="shared" si="4"/>
        <v>0</v>
      </c>
      <c r="H10" s="115">
        <f t="shared" si="5"/>
        <v>0</v>
      </c>
      <c r="I10" s="114">
        <f t="shared" si="6"/>
        <v>0</v>
      </c>
      <c r="J10" s="114">
        <f t="shared" si="7"/>
        <v>0</v>
      </c>
      <c r="K10" s="119">
        <f>SUM(Table487[[#This Row],[Install]:[Call Center]])</f>
        <v>0</v>
      </c>
      <c r="L10" s="401">
        <f t="shared" si="8"/>
        <v>0</v>
      </c>
      <c r="M10" s="401">
        <f t="shared" si="9"/>
        <v>0</v>
      </c>
      <c r="N10" s="401" t="e">
        <f t="shared" si="10"/>
        <v>#DIV/0!</v>
      </c>
      <c r="O10" s="98">
        <f>0</f>
        <v>0</v>
      </c>
      <c r="P10" s="387" t="e">
        <f t="shared" si="11"/>
        <v>#DIV/0!</v>
      </c>
    </row>
    <row r="11" spans="1:16">
      <c r="A11" s="108" t="s">
        <v>80</v>
      </c>
      <c r="B11" s="109">
        <v>0</v>
      </c>
      <c r="C11" s="110">
        <f t="shared" si="0"/>
        <v>0</v>
      </c>
      <c r="D11" s="111">
        <f t="shared" si="1"/>
        <v>0</v>
      </c>
      <c r="E11" s="112">
        <f t="shared" si="2"/>
        <v>0</v>
      </c>
      <c r="F11" s="113">
        <f t="shared" si="3"/>
        <v>0</v>
      </c>
      <c r="G11" s="136">
        <f t="shared" si="4"/>
        <v>0</v>
      </c>
      <c r="H11" s="115">
        <f t="shared" si="5"/>
        <v>0</v>
      </c>
      <c r="I11" s="114">
        <f t="shared" si="6"/>
        <v>0</v>
      </c>
      <c r="J11" s="114">
        <f t="shared" si="7"/>
        <v>0</v>
      </c>
      <c r="K11" s="119">
        <f>SUM(Table487[[#This Row],[Install]:[Call Center]])</f>
        <v>0</v>
      </c>
      <c r="L11" s="401">
        <f t="shared" si="8"/>
        <v>0</v>
      </c>
      <c r="M11" s="401">
        <f t="shared" si="9"/>
        <v>0</v>
      </c>
      <c r="N11" s="401" t="e">
        <f t="shared" si="10"/>
        <v>#DIV/0!</v>
      </c>
      <c r="O11" s="98">
        <f>0</f>
        <v>0</v>
      </c>
      <c r="P11" s="387" t="e">
        <f t="shared" si="11"/>
        <v>#DIV/0!</v>
      </c>
    </row>
    <row r="12" spans="1:16">
      <c r="A12" s="108" t="s">
        <v>81</v>
      </c>
      <c r="B12" s="109">
        <v>0</v>
      </c>
      <c r="C12" s="110">
        <f t="shared" si="0"/>
        <v>0</v>
      </c>
      <c r="D12" s="111">
        <f t="shared" si="1"/>
        <v>0</v>
      </c>
      <c r="E12" s="112">
        <f t="shared" si="2"/>
        <v>0</v>
      </c>
      <c r="F12" s="113">
        <f t="shared" si="3"/>
        <v>0</v>
      </c>
      <c r="G12" s="136">
        <f t="shared" si="4"/>
        <v>0</v>
      </c>
      <c r="H12" s="115">
        <f t="shared" si="5"/>
        <v>0</v>
      </c>
      <c r="I12" s="114">
        <f t="shared" si="6"/>
        <v>0</v>
      </c>
      <c r="J12" s="114">
        <f t="shared" si="7"/>
        <v>0</v>
      </c>
      <c r="K12" s="119">
        <f>SUM(Table487[[#This Row],[Install]:[Call Center]])</f>
        <v>0</v>
      </c>
      <c r="L12" s="401">
        <f t="shared" si="8"/>
        <v>0</v>
      </c>
      <c r="M12" s="401">
        <f t="shared" si="9"/>
        <v>0</v>
      </c>
      <c r="N12" s="401" t="e">
        <f t="shared" si="10"/>
        <v>#DIV/0!</v>
      </c>
      <c r="O12" s="98">
        <f>0</f>
        <v>0</v>
      </c>
      <c r="P12" s="387" t="e">
        <f t="shared" si="11"/>
        <v>#DIV/0!</v>
      </c>
    </row>
    <row r="13" spans="1:16">
      <c r="A13" s="108" t="s">
        <v>82</v>
      </c>
      <c r="B13" s="109">
        <v>0</v>
      </c>
      <c r="C13" s="110">
        <f t="shared" si="0"/>
        <v>0</v>
      </c>
      <c r="D13" s="111">
        <f t="shared" si="1"/>
        <v>0</v>
      </c>
      <c r="E13" s="112">
        <f t="shared" si="2"/>
        <v>0</v>
      </c>
      <c r="F13" s="113">
        <f t="shared" si="3"/>
        <v>0</v>
      </c>
      <c r="G13" s="136">
        <f t="shared" si="4"/>
        <v>0</v>
      </c>
      <c r="H13" s="115">
        <f t="shared" si="5"/>
        <v>0</v>
      </c>
      <c r="I13" s="114">
        <f t="shared" si="6"/>
        <v>0</v>
      </c>
      <c r="J13" s="114">
        <f t="shared" si="7"/>
        <v>0</v>
      </c>
      <c r="K13" s="119">
        <f>SUM(Table487[[#This Row],[Install]:[Call Center]])</f>
        <v>0</v>
      </c>
      <c r="L13" s="401">
        <f t="shared" si="8"/>
        <v>0</v>
      </c>
      <c r="M13" s="401">
        <f t="shared" si="9"/>
        <v>0</v>
      </c>
      <c r="N13" s="401" t="e">
        <f t="shared" si="10"/>
        <v>#DIV/0!</v>
      </c>
      <c r="O13" s="98">
        <f>0</f>
        <v>0</v>
      </c>
      <c r="P13" s="387" t="e">
        <f t="shared" si="11"/>
        <v>#DIV/0!</v>
      </c>
    </row>
    <row r="14" spans="1:16">
      <c r="A14" s="117" t="s">
        <v>83</v>
      </c>
      <c r="B14" s="15"/>
      <c r="C14" s="118">
        <f t="shared" ref="C14:J14" si="12">SUM(C3:C13)</f>
        <v>0</v>
      </c>
      <c r="D14" s="118">
        <f t="shared" si="12"/>
        <v>0</v>
      </c>
      <c r="E14" s="118">
        <f t="shared" si="12"/>
        <v>0</v>
      </c>
      <c r="F14" s="118">
        <f t="shared" si="12"/>
        <v>0</v>
      </c>
      <c r="G14" s="118">
        <f t="shared" si="12"/>
        <v>0</v>
      </c>
      <c r="H14" s="118">
        <f t="shared" si="12"/>
        <v>0</v>
      </c>
      <c r="I14" s="118">
        <f t="shared" si="12"/>
        <v>0</v>
      </c>
      <c r="J14" s="118">
        <f t="shared" si="12"/>
        <v>0</v>
      </c>
      <c r="K14" s="119">
        <f>SUM(Table487[[#This Row],[Install]:[Call Center]])</f>
        <v>0</v>
      </c>
      <c r="L14" s="401"/>
      <c r="M14" s="401"/>
      <c r="N14" s="401"/>
      <c r="O14" s="392"/>
      <c r="P14" s="392"/>
    </row>
    <row r="15" spans="1:16" ht="14.45" customHeight="1" thickBot="1">
      <c r="A15" s="386"/>
      <c r="B15" s="139"/>
      <c r="C15" s="416" t="s">
        <v>68</v>
      </c>
      <c r="D15" s="446"/>
      <c r="E15" s="446"/>
      <c r="F15" s="447"/>
      <c r="G15" s="416" t="s">
        <v>68</v>
      </c>
      <c r="H15" s="446"/>
      <c r="I15" s="446"/>
      <c r="J15" s="447"/>
      <c r="K15" s="385"/>
      <c r="L15" s="401"/>
      <c r="M15" s="392"/>
      <c r="N15" s="392"/>
      <c r="O15" s="392"/>
      <c r="P15" s="392"/>
    </row>
    <row r="16" spans="1:16">
      <c r="A16" s="120" t="s">
        <v>84</v>
      </c>
      <c r="B16" s="121" t="s">
        <v>54</v>
      </c>
      <c r="C16" s="132" t="s">
        <v>55</v>
      </c>
      <c r="D16" s="133" t="s">
        <v>56</v>
      </c>
      <c r="E16" s="133" t="s">
        <v>57</v>
      </c>
      <c r="F16" s="160" t="s">
        <v>63</v>
      </c>
      <c r="G16" s="132" t="s">
        <v>59</v>
      </c>
      <c r="H16" s="133" t="s">
        <v>60</v>
      </c>
      <c r="I16" s="133" t="s">
        <v>61</v>
      </c>
      <c r="J16" s="133" t="s">
        <v>62</v>
      </c>
      <c r="K16" s="161" t="s">
        <v>85</v>
      </c>
      <c r="L16" s="392"/>
      <c r="M16" s="392"/>
      <c r="N16" s="392"/>
      <c r="O16" s="392"/>
      <c r="P16" s="392"/>
    </row>
    <row r="17" spans="1:15">
      <c r="A17" s="108" t="s">
        <v>86</v>
      </c>
      <c r="B17" s="109">
        <v>0</v>
      </c>
      <c r="C17" s="116">
        <f t="shared" ref="C17:E27" si="13">C3/60</f>
        <v>0</v>
      </c>
      <c r="D17" s="111">
        <f t="shared" si="13"/>
        <v>0</v>
      </c>
      <c r="E17" s="112">
        <f t="shared" si="13"/>
        <v>0</v>
      </c>
      <c r="F17" s="113">
        <f t="shared" ref="F17:F27" si="14">SUM(C17:E17)</f>
        <v>0</v>
      </c>
      <c r="G17" s="158">
        <f t="shared" ref="G17:J27" si="15">G3/60</f>
        <v>0</v>
      </c>
      <c r="H17" s="159">
        <f t="shared" si="15"/>
        <v>0</v>
      </c>
      <c r="I17" s="137">
        <f t="shared" si="15"/>
        <v>0</v>
      </c>
      <c r="J17" s="138">
        <f t="shared" si="15"/>
        <v>0</v>
      </c>
      <c r="K17" s="113">
        <f>SUM(Table2910[[#This Row],[Install]:[Call Center]])</f>
        <v>0</v>
      </c>
      <c r="L17" s="392"/>
      <c r="M17" s="392"/>
      <c r="N17" s="392"/>
      <c r="O17" s="392"/>
    </row>
    <row r="18" spans="1:15">
      <c r="A18" s="108" t="s">
        <v>87</v>
      </c>
      <c r="B18" s="109">
        <v>0</v>
      </c>
      <c r="C18" s="116">
        <f t="shared" si="13"/>
        <v>0</v>
      </c>
      <c r="D18" s="111">
        <f t="shared" si="13"/>
        <v>0</v>
      </c>
      <c r="E18" s="112">
        <f t="shared" si="13"/>
        <v>0</v>
      </c>
      <c r="F18" s="113">
        <f t="shared" si="14"/>
        <v>0</v>
      </c>
      <c r="G18" s="181">
        <f t="shared" si="15"/>
        <v>0</v>
      </c>
      <c r="H18" s="182">
        <f t="shared" si="15"/>
        <v>0</v>
      </c>
      <c r="I18" s="183">
        <f t="shared" si="15"/>
        <v>0</v>
      </c>
      <c r="J18" s="114">
        <f t="shared" si="15"/>
        <v>0</v>
      </c>
      <c r="K18" s="113">
        <f>SUM(Table2910[[#This Row],[Install]:[Call Center]])</f>
        <v>0</v>
      </c>
      <c r="L18" s="392"/>
      <c r="M18" s="392"/>
      <c r="N18" s="392"/>
      <c r="O18" s="392"/>
    </row>
    <row r="19" spans="1:15">
      <c r="A19" s="108" t="s">
        <v>88</v>
      </c>
      <c r="B19" s="109">
        <v>0</v>
      </c>
      <c r="C19" s="116">
        <f t="shared" si="13"/>
        <v>0</v>
      </c>
      <c r="D19" s="111">
        <f t="shared" si="13"/>
        <v>0</v>
      </c>
      <c r="E19" s="112">
        <f t="shared" si="13"/>
        <v>0</v>
      </c>
      <c r="F19" s="113">
        <f t="shared" si="14"/>
        <v>0</v>
      </c>
      <c r="G19" s="181">
        <f t="shared" si="15"/>
        <v>0</v>
      </c>
      <c r="H19" s="182">
        <f t="shared" si="15"/>
        <v>0</v>
      </c>
      <c r="I19" s="183">
        <f t="shared" si="15"/>
        <v>0</v>
      </c>
      <c r="J19" s="114">
        <f t="shared" si="15"/>
        <v>0</v>
      </c>
      <c r="K19" s="113">
        <f>SUM(Table2910[[#This Row],[Install]:[Call Center]])</f>
        <v>0</v>
      </c>
      <c r="L19" s="392"/>
      <c r="M19" s="392"/>
      <c r="N19" s="392"/>
      <c r="O19" s="392"/>
    </row>
    <row r="20" spans="1:15">
      <c r="A20" s="108" t="s">
        <v>89</v>
      </c>
      <c r="B20" s="109">
        <v>0</v>
      </c>
      <c r="C20" s="116">
        <f t="shared" si="13"/>
        <v>0</v>
      </c>
      <c r="D20" s="111">
        <f t="shared" si="13"/>
        <v>0</v>
      </c>
      <c r="E20" s="112">
        <f t="shared" si="13"/>
        <v>0</v>
      </c>
      <c r="F20" s="113">
        <f t="shared" si="14"/>
        <v>0</v>
      </c>
      <c r="G20" s="181">
        <f t="shared" si="15"/>
        <v>0</v>
      </c>
      <c r="H20" s="182">
        <f t="shared" si="15"/>
        <v>0</v>
      </c>
      <c r="I20" s="183">
        <f t="shared" si="15"/>
        <v>0</v>
      </c>
      <c r="J20" s="114">
        <f t="shared" si="15"/>
        <v>0</v>
      </c>
      <c r="K20" s="113">
        <f>SUM(Table2910[[#This Row],[Install]:[Call Center]])</f>
        <v>0</v>
      </c>
      <c r="L20" s="392"/>
      <c r="M20" s="392"/>
      <c r="N20" s="392"/>
      <c r="O20" s="392"/>
    </row>
    <row r="21" spans="1:15">
      <c r="A21" s="108" t="s">
        <v>90</v>
      </c>
      <c r="B21" s="109">
        <v>0</v>
      </c>
      <c r="C21" s="116">
        <f t="shared" si="13"/>
        <v>0</v>
      </c>
      <c r="D21" s="111">
        <f t="shared" si="13"/>
        <v>0</v>
      </c>
      <c r="E21" s="112">
        <f t="shared" si="13"/>
        <v>0</v>
      </c>
      <c r="F21" s="113">
        <f t="shared" si="14"/>
        <v>0</v>
      </c>
      <c r="G21" s="181">
        <f t="shared" si="15"/>
        <v>0</v>
      </c>
      <c r="H21" s="182">
        <f t="shared" si="15"/>
        <v>0</v>
      </c>
      <c r="I21" s="183">
        <f t="shared" si="15"/>
        <v>0</v>
      </c>
      <c r="J21" s="114">
        <f t="shared" si="15"/>
        <v>0</v>
      </c>
      <c r="K21" s="113">
        <f>SUM(Table2910[[#This Row],[Install]:[Call Center]])</f>
        <v>0</v>
      </c>
      <c r="L21" s="392"/>
      <c r="M21" s="392"/>
      <c r="N21" s="392"/>
      <c r="O21" s="392"/>
    </row>
    <row r="22" spans="1:15">
      <c r="A22" s="108" t="s">
        <v>91</v>
      </c>
      <c r="B22" s="109">
        <v>0</v>
      </c>
      <c r="C22" s="116">
        <f t="shared" si="13"/>
        <v>0</v>
      </c>
      <c r="D22" s="111">
        <f t="shared" si="13"/>
        <v>0</v>
      </c>
      <c r="E22" s="112">
        <f t="shared" si="13"/>
        <v>0</v>
      </c>
      <c r="F22" s="113">
        <f t="shared" si="14"/>
        <v>0</v>
      </c>
      <c r="G22" s="181">
        <f t="shared" si="15"/>
        <v>0</v>
      </c>
      <c r="H22" s="182">
        <f t="shared" si="15"/>
        <v>0</v>
      </c>
      <c r="I22" s="183">
        <f t="shared" si="15"/>
        <v>0</v>
      </c>
      <c r="J22" s="114">
        <f t="shared" si="15"/>
        <v>0</v>
      </c>
      <c r="K22" s="113">
        <f>SUM(Table2910[[#This Row],[Install]:[Call Center]])</f>
        <v>0</v>
      </c>
      <c r="L22" s="392"/>
      <c r="M22" s="392"/>
      <c r="N22" s="392"/>
      <c r="O22" s="392"/>
    </row>
    <row r="23" spans="1:15">
      <c r="A23" s="108" t="s">
        <v>92</v>
      </c>
      <c r="B23" s="109">
        <v>0</v>
      </c>
      <c r="C23" s="116">
        <f t="shared" si="13"/>
        <v>0</v>
      </c>
      <c r="D23" s="111">
        <f t="shared" si="13"/>
        <v>0</v>
      </c>
      <c r="E23" s="112">
        <f t="shared" si="13"/>
        <v>0</v>
      </c>
      <c r="F23" s="113">
        <f t="shared" si="14"/>
        <v>0</v>
      </c>
      <c r="G23" s="181">
        <f t="shared" si="15"/>
        <v>0</v>
      </c>
      <c r="H23" s="182">
        <f t="shared" si="15"/>
        <v>0</v>
      </c>
      <c r="I23" s="183">
        <f t="shared" si="15"/>
        <v>0</v>
      </c>
      <c r="J23" s="114">
        <f t="shared" si="15"/>
        <v>0</v>
      </c>
      <c r="K23" s="113">
        <f>SUM(Table2910[[#This Row],[Install]:[Call Center]])</f>
        <v>0</v>
      </c>
      <c r="L23" s="392"/>
      <c r="M23" s="392"/>
      <c r="N23" s="392"/>
      <c r="O23" s="392"/>
    </row>
    <row r="24" spans="1:15">
      <c r="A24" s="108" t="s">
        <v>93</v>
      </c>
      <c r="B24" s="109">
        <v>0</v>
      </c>
      <c r="C24" s="116">
        <f t="shared" si="13"/>
        <v>0</v>
      </c>
      <c r="D24" s="111">
        <f t="shared" si="13"/>
        <v>0</v>
      </c>
      <c r="E24" s="112">
        <f t="shared" si="13"/>
        <v>0</v>
      </c>
      <c r="F24" s="113">
        <f t="shared" si="14"/>
        <v>0</v>
      </c>
      <c r="G24" s="181">
        <f t="shared" si="15"/>
        <v>0</v>
      </c>
      <c r="H24" s="182">
        <f t="shared" si="15"/>
        <v>0</v>
      </c>
      <c r="I24" s="183">
        <f t="shared" si="15"/>
        <v>0</v>
      </c>
      <c r="J24" s="114">
        <f t="shared" si="15"/>
        <v>0</v>
      </c>
      <c r="K24" s="113">
        <f>SUM(Table2910[[#This Row],[Install]:[Call Center]])</f>
        <v>0</v>
      </c>
      <c r="L24" s="392"/>
      <c r="M24" s="392"/>
      <c r="N24" s="392"/>
      <c r="O24" s="392"/>
    </row>
    <row r="25" spans="1:15">
      <c r="A25" s="108" t="s">
        <v>94</v>
      </c>
      <c r="B25" s="109">
        <v>0</v>
      </c>
      <c r="C25" s="116">
        <f t="shared" si="13"/>
        <v>0</v>
      </c>
      <c r="D25" s="111">
        <f t="shared" si="13"/>
        <v>0</v>
      </c>
      <c r="E25" s="112">
        <f t="shared" si="13"/>
        <v>0</v>
      </c>
      <c r="F25" s="113">
        <f t="shared" si="14"/>
        <v>0</v>
      </c>
      <c r="G25" s="181">
        <f t="shared" si="15"/>
        <v>0</v>
      </c>
      <c r="H25" s="182">
        <f t="shared" si="15"/>
        <v>0</v>
      </c>
      <c r="I25" s="183">
        <f t="shared" si="15"/>
        <v>0</v>
      </c>
      <c r="J25" s="114">
        <f t="shared" si="15"/>
        <v>0</v>
      </c>
      <c r="K25" s="113">
        <f>SUM(Table2910[[#This Row],[Install]:[Call Center]])</f>
        <v>0</v>
      </c>
      <c r="L25" s="392"/>
      <c r="M25" s="392"/>
      <c r="N25" s="392"/>
      <c r="O25" s="392"/>
    </row>
    <row r="26" spans="1:15">
      <c r="A26" s="108" t="s">
        <v>95</v>
      </c>
      <c r="B26" s="109">
        <v>0</v>
      </c>
      <c r="C26" s="116">
        <f t="shared" si="13"/>
        <v>0</v>
      </c>
      <c r="D26" s="111">
        <f t="shared" si="13"/>
        <v>0</v>
      </c>
      <c r="E26" s="112">
        <f t="shared" si="13"/>
        <v>0</v>
      </c>
      <c r="F26" s="113">
        <f t="shared" si="14"/>
        <v>0</v>
      </c>
      <c r="G26" s="181">
        <f t="shared" si="15"/>
        <v>0</v>
      </c>
      <c r="H26" s="182">
        <f t="shared" si="15"/>
        <v>0</v>
      </c>
      <c r="I26" s="183">
        <f t="shared" si="15"/>
        <v>0</v>
      </c>
      <c r="J26" s="114">
        <f t="shared" si="15"/>
        <v>0</v>
      </c>
      <c r="K26" s="113">
        <f>SUM(Table2910[[#This Row],[Install]:[Call Center]])</f>
        <v>0</v>
      </c>
      <c r="L26" s="392"/>
      <c r="M26" s="392"/>
      <c r="N26" s="392"/>
      <c r="O26" s="392"/>
    </row>
    <row r="27" spans="1:15">
      <c r="A27" s="108" t="s">
        <v>96</v>
      </c>
      <c r="B27" s="109">
        <v>0</v>
      </c>
      <c r="C27" s="116">
        <f t="shared" si="13"/>
        <v>0</v>
      </c>
      <c r="D27" s="111">
        <f t="shared" si="13"/>
        <v>0</v>
      </c>
      <c r="E27" s="112">
        <f t="shared" si="13"/>
        <v>0</v>
      </c>
      <c r="F27" s="113">
        <f t="shared" si="14"/>
        <v>0</v>
      </c>
      <c r="G27" s="181">
        <f t="shared" si="15"/>
        <v>0</v>
      </c>
      <c r="H27" s="182">
        <f t="shared" si="15"/>
        <v>0</v>
      </c>
      <c r="I27" s="183">
        <f t="shared" si="15"/>
        <v>0</v>
      </c>
      <c r="J27" s="114">
        <f t="shared" si="15"/>
        <v>0</v>
      </c>
      <c r="K27" s="113">
        <f>SUM(Table2910[[#This Row],[Install]:[Call Center]])</f>
        <v>0</v>
      </c>
      <c r="L27" s="392"/>
      <c r="M27" s="392"/>
      <c r="N27" s="392"/>
      <c r="O27" s="392"/>
    </row>
    <row r="28" spans="1:15" ht="14.45" customHeight="1" thickBot="1">
      <c r="A28" s="108"/>
      <c r="B28" s="109"/>
      <c r="C28" s="116">
        <f>SUM(Table2910[Integration])</f>
        <v>0</v>
      </c>
      <c r="D28" s="384">
        <f>SUBTOTAL(109,Table2910[Delivery])</f>
        <v>0</v>
      </c>
      <c r="E28" s="383">
        <f>SUBTOTAL(109,Table2910[title 60 months])</f>
        <v>0</v>
      </c>
      <c r="F28" s="119">
        <f>SUBTOTAL(109,Table2910[CSOW])</f>
        <v>0</v>
      </c>
      <c r="G28" s="382">
        <f>SUBTOTAL(109,Table2910[Install])</f>
        <v>0</v>
      </c>
      <c r="H28" s="381">
        <f>SUBTOTAL(109,Table2910[PMO])</f>
        <v>0</v>
      </c>
      <c r="I28" s="380">
        <f>SUBTOTAL(109,Table2910[Break/Fix])</f>
        <v>0</v>
      </c>
      <c r="J28" s="379">
        <f>SUBTOTAL(109,Table2910[Call Center])</f>
        <v>0</v>
      </c>
      <c r="K28" s="119">
        <f>SUBTOTAL(109,Table2910[CSOW2])</f>
        <v>0</v>
      </c>
      <c r="L28" s="404"/>
      <c r="M28" s="404"/>
      <c r="N28" s="404"/>
      <c r="O28" s="404"/>
    </row>
    <row r="29" spans="1:15" ht="14.45" customHeight="1" thickBot="1">
      <c r="A29" s="378"/>
      <c r="B29" s="377" t="s">
        <v>97</v>
      </c>
      <c r="C29" s="377"/>
      <c r="D29" s="376">
        <f>SUM(C14:E14,G14:J14)</f>
        <v>0</v>
      </c>
      <c r="E29" s="392"/>
      <c r="F29" s="392"/>
      <c r="G29" s="392"/>
      <c r="H29" s="401"/>
      <c r="I29" s="401"/>
      <c r="J29" s="401"/>
      <c r="K29" s="392"/>
      <c r="L29" s="392"/>
      <c r="M29" s="392"/>
      <c r="N29" s="392"/>
      <c r="O29" s="392"/>
    </row>
    <row r="30" spans="1:15" ht="14.45" customHeight="1" thickBot="1">
      <c r="A30" s="392"/>
      <c r="B30" s="397"/>
      <c r="C30" s="397"/>
      <c r="D30" s="392"/>
      <c r="E30" s="172" t="s">
        <v>98</v>
      </c>
      <c r="F30" s="173">
        <f>SUM(F28,K28)</f>
        <v>0</v>
      </c>
      <c r="G30" s="392"/>
      <c r="H30" s="401"/>
      <c r="I30" s="401"/>
      <c r="J30" s="280" t="s">
        <v>99</v>
      </c>
      <c r="K30" s="145">
        <f>SUM(H20:J20)</f>
        <v>0</v>
      </c>
      <c r="L30" s="392"/>
      <c r="M30" s="392"/>
      <c r="N30" s="392"/>
      <c r="O30" s="392"/>
    </row>
    <row r="31" spans="1:15" ht="14.45" customHeight="1" thickBot="1">
      <c r="A31" s="413" t="s">
        <v>100</v>
      </c>
      <c r="B31" s="414"/>
      <c r="C31" s="414"/>
      <c r="D31" s="392"/>
      <c r="E31" s="172" t="s">
        <v>101</v>
      </c>
      <c r="F31" s="173">
        <f>L25</f>
        <v>0</v>
      </c>
      <c r="G31" s="392"/>
      <c r="H31" s="401"/>
      <c r="I31" s="401"/>
      <c r="J31" s="401"/>
      <c r="K31" s="392"/>
      <c r="L31" s="392"/>
      <c r="M31" s="392"/>
      <c r="N31" s="392"/>
      <c r="O31" s="392"/>
    </row>
    <row r="32" spans="1:15" ht="14.45" customHeight="1" thickBot="1">
      <c r="A32" s="398" t="s">
        <v>53</v>
      </c>
      <c r="B32" s="398" t="s">
        <v>102</v>
      </c>
      <c r="C32" s="398" t="s">
        <v>103</v>
      </c>
      <c r="D32" s="392"/>
      <c r="E32" s="172" t="s">
        <v>104</v>
      </c>
      <c r="F32" s="173">
        <f>L26</f>
        <v>0</v>
      </c>
      <c r="G32" s="392"/>
      <c r="H32" s="401"/>
      <c r="I32" s="401"/>
      <c r="J32" s="401"/>
      <c r="K32" s="392"/>
      <c r="L32" s="392"/>
      <c r="M32" s="392"/>
      <c r="N32" s="392"/>
      <c r="O32" s="392"/>
    </row>
    <row r="33" spans="1:8">
      <c r="A33" s="108" t="s">
        <v>105</v>
      </c>
      <c r="B33" s="109">
        <v>0</v>
      </c>
      <c r="C33" s="340">
        <f t="shared" ref="C33:C43" si="16">0*B33</f>
        <v>0</v>
      </c>
      <c r="D33" s="392"/>
      <c r="E33" s="375"/>
      <c r="F33" s="392"/>
      <c r="G33" s="392"/>
      <c r="H33" s="401"/>
    </row>
    <row r="34" spans="1:8">
      <c r="A34" s="108" t="s">
        <v>106</v>
      </c>
      <c r="B34" s="109">
        <v>0</v>
      </c>
      <c r="C34" s="340">
        <f t="shared" si="16"/>
        <v>0</v>
      </c>
      <c r="D34" s="392"/>
      <c r="E34" s="375"/>
      <c r="F34" s="392"/>
      <c r="G34" s="392"/>
      <c r="H34" s="401"/>
    </row>
    <row r="35" spans="1:8">
      <c r="A35" s="108" t="s">
        <v>107</v>
      </c>
      <c r="B35" s="109">
        <v>0</v>
      </c>
      <c r="C35" s="340">
        <f t="shared" si="16"/>
        <v>0</v>
      </c>
      <c r="D35" s="392"/>
      <c r="E35" s="375"/>
      <c r="F35" s="392"/>
      <c r="G35" s="392"/>
      <c r="H35" s="401"/>
    </row>
    <row r="36" spans="1:8">
      <c r="A36" s="108" t="s">
        <v>108</v>
      </c>
      <c r="B36" s="109">
        <v>0</v>
      </c>
      <c r="C36" s="340">
        <f t="shared" si="16"/>
        <v>0</v>
      </c>
      <c r="D36" s="392"/>
      <c r="E36" s="375"/>
      <c r="F36" s="392"/>
      <c r="G36" s="392"/>
      <c r="H36" s="401"/>
    </row>
    <row r="37" spans="1:8">
      <c r="A37" s="108" t="s">
        <v>109</v>
      </c>
      <c r="B37" s="109">
        <v>0</v>
      </c>
      <c r="C37" s="340">
        <f t="shared" si="16"/>
        <v>0</v>
      </c>
      <c r="D37" s="392"/>
      <c r="E37" s="375"/>
      <c r="F37" s="392"/>
      <c r="G37" s="392"/>
      <c r="H37" s="401"/>
    </row>
    <row r="38" spans="1:8">
      <c r="A38" s="108" t="s">
        <v>110</v>
      </c>
      <c r="B38" s="109">
        <v>0</v>
      </c>
      <c r="C38" s="340">
        <f t="shared" si="16"/>
        <v>0</v>
      </c>
      <c r="D38" s="392"/>
      <c r="E38" s="375"/>
      <c r="F38" s="392"/>
      <c r="G38" s="392"/>
      <c r="H38" s="408"/>
    </row>
    <row r="39" spans="1:8">
      <c r="A39" s="108" t="s">
        <v>111</v>
      </c>
      <c r="B39" s="109">
        <v>0</v>
      </c>
      <c r="C39" s="340">
        <f t="shared" si="16"/>
        <v>0</v>
      </c>
      <c r="D39" s="392"/>
      <c r="E39" s="375"/>
      <c r="F39" s="392"/>
      <c r="G39" s="392"/>
      <c r="H39" s="401"/>
    </row>
    <row r="40" spans="1:8">
      <c r="A40" s="108" t="s">
        <v>112</v>
      </c>
      <c r="B40" s="109">
        <v>0</v>
      </c>
      <c r="C40" s="340">
        <f t="shared" si="16"/>
        <v>0</v>
      </c>
      <c r="D40" s="392"/>
      <c r="E40" s="375"/>
      <c r="F40" s="392"/>
      <c r="G40" s="392"/>
      <c r="H40" s="401"/>
    </row>
    <row r="41" spans="1:8">
      <c r="A41" s="108" t="s">
        <v>113</v>
      </c>
      <c r="B41" s="109">
        <v>0</v>
      </c>
      <c r="C41" s="340">
        <f t="shared" si="16"/>
        <v>0</v>
      </c>
      <c r="D41" s="392"/>
      <c r="E41" s="375"/>
      <c r="F41" s="392"/>
      <c r="G41" s="392"/>
      <c r="H41" s="401"/>
    </row>
    <row r="42" spans="1:8">
      <c r="A42" s="108" t="s">
        <v>114</v>
      </c>
      <c r="B42" s="109">
        <v>0</v>
      </c>
      <c r="C42" s="340">
        <f t="shared" si="16"/>
        <v>0</v>
      </c>
      <c r="D42" s="392"/>
      <c r="E42" s="375"/>
      <c r="F42" s="392"/>
      <c r="G42" s="392"/>
      <c r="H42" s="401"/>
    </row>
    <row r="43" spans="1:8" ht="14.45" customHeight="1" thickBot="1">
      <c r="A43" s="108" t="s">
        <v>115</v>
      </c>
      <c r="B43" s="109">
        <v>0</v>
      </c>
      <c r="C43" s="340">
        <f t="shared" si="16"/>
        <v>0</v>
      </c>
      <c r="D43" s="392"/>
      <c r="E43" s="375"/>
      <c r="F43" s="392"/>
      <c r="G43" s="392"/>
      <c r="H43" s="401"/>
    </row>
    <row r="44" spans="1:8">
      <c r="A44" s="108"/>
      <c r="B44" s="374" t="s">
        <v>116</v>
      </c>
      <c r="C44" s="373">
        <f>SUBTOTAL(109,C33:C43)</f>
        <v>0</v>
      </c>
      <c r="D44" s="392"/>
      <c r="E44" s="392"/>
      <c r="F44" s="392"/>
      <c r="G44" s="164" t="s">
        <v>117</v>
      </c>
      <c r="H44" s="401"/>
    </row>
    <row r="45" spans="1:8" ht="14.45" customHeight="1" thickBot="1">
      <c r="A45" s="392"/>
      <c r="B45" s="397"/>
      <c r="C45" s="397"/>
      <c r="D45" s="392"/>
      <c r="E45" s="392"/>
      <c r="F45" s="392"/>
      <c r="G45" s="372">
        <f>SUM(G14,I14:J14)</f>
        <v>0</v>
      </c>
      <c r="H45" s="401"/>
    </row>
    <row r="46" spans="1:8">
      <c r="A46" s="417" t="s">
        <v>118</v>
      </c>
      <c r="B46" s="448"/>
      <c r="C46" s="448"/>
      <c r="D46" s="448"/>
      <c r="E46" s="448"/>
      <c r="F46" s="392" t="s">
        <v>68</v>
      </c>
      <c r="G46" s="392"/>
      <c r="H46" s="401"/>
    </row>
    <row r="47" spans="1:8">
      <c r="A47" s="371" t="s">
        <v>53</v>
      </c>
      <c r="B47" s="17" t="s">
        <v>119</v>
      </c>
      <c r="C47" s="140" t="s">
        <v>120</v>
      </c>
      <c r="D47" s="141" t="s">
        <v>121</v>
      </c>
      <c r="E47" s="135" t="s">
        <v>122</v>
      </c>
      <c r="F47" s="162" t="s">
        <v>123</v>
      </c>
      <c r="G47" s="398" t="s">
        <v>124</v>
      </c>
      <c r="H47" s="398" t="s">
        <v>125</v>
      </c>
    </row>
    <row r="48" spans="1:8">
      <c r="A48" s="108" t="s">
        <v>126</v>
      </c>
      <c r="B48" s="109">
        <v>0</v>
      </c>
      <c r="C48" s="90">
        <f t="shared" ref="C48:C58" si="17">0*B48</f>
        <v>0</v>
      </c>
      <c r="D48" s="88">
        <f t="shared" ref="D48:D58" si="18">0*B48*60</f>
        <v>0</v>
      </c>
      <c r="E48" s="91">
        <f t="shared" ref="E48:E58" si="19">0*B48*60</f>
        <v>0</v>
      </c>
      <c r="F48" s="401">
        <f t="shared" ref="F48:F58" si="20">D48/60</f>
        <v>0</v>
      </c>
      <c r="G48" s="401">
        <f t="shared" ref="G48:G58" si="21">E48/60</f>
        <v>0</v>
      </c>
      <c r="H48" s="370">
        <f>SUM(Table371214[[#This Row],[break fix]:[call center]])</f>
        <v>0</v>
      </c>
    </row>
    <row r="49" spans="1:8">
      <c r="A49" s="108" t="s">
        <v>127</v>
      </c>
      <c r="B49" s="109">
        <v>0</v>
      </c>
      <c r="C49" s="90">
        <f t="shared" si="17"/>
        <v>0</v>
      </c>
      <c r="D49" s="88">
        <f t="shared" si="18"/>
        <v>0</v>
      </c>
      <c r="E49" s="91">
        <f t="shared" si="19"/>
        <v>0</v>
      </c>
      <c r="F49" s="401">
        <f t="shared" si="20"/>
        <v>0</v>
      </c>
      <c r="G49" s="401">
        <f t="shared" si="21"/>
        <v>0</v>
      </c>
      <c r="H49" s="370">
        <f>SUM(Table371214[[#This Row],[break fix]:[call center]])</f>
        <v>0</v>
      </c>
    </row>
    <row r="50" spans="1:8">
      <c r="A50" s="108" t="s">
        <v>128</v>
      </c>
      <c r="B50" s="109">
        <v>0</v>
      </c>
      <c r="C50" s="90">
        <f t="shared" si="17"/>
        <v>0</v>
      </c>
      <c r="D50" s="88">
        <f t="shared" si="18"/>
        <v>0</v>
      </c>
      <c r="E50" s="91">
        <f t="shared" si="19"/>
        <v>0</v>
      </c>
      <c r="F50" s="401">
        <f t="shared" si="20"/>
        <v>0</v>
      </c>
      <c r="G50" s="401">
        <f t="shared" si="21"/>
        <v>0</v>
      </c>
      <c r="H50" s="370">
        <f>SUM(Table371214[[#This Row],[break fix]:[call center]])</f>
        <v>0</v>
      </c>
    </row>
    <row r="51" spans="1:8">
      <c r="A51" s="108" t="s">
        <v>129</v>
      </c>
      <c r="B51" s="109">
        <v>0</v>
      </c>
      <c r="C51" s="90">
        <f t="shared" si="17"/>
        <v>0</v>
      </c>
      <c r="D51" s="88">
        <f t="shared" si="18"/>
        <v>0</v>
      </c>
      <c r="E51" s="91">
        <f t="shared" si="19"/>
        <v>0</v>
      </c>
      <c r="F51" s="401">
        <f t="shared" si="20"/>
        <v>0</v>
      </c>
      <c r="G51" s="401">
        <f t="shared" si="21"/>
        <v>0</v>
      </c>
      <c r="H51" s="370">
        <f>SUM(Table371214[[#This Row],[break fix]:[call center]])</f>
        <v>0</v>
      </c>
    </row>
    <row r="52" spans="1:8">
      <c r="A52" s="108" t="s">
        <v>130</v>
      </c>
      <c r="B52" s="109">
        <v>0</v>
      </c>
      <c r="C52" s="90">
        <f t="shared" si="17"/>
        <v>0</v>
      </c>
      <c r="D52" s="88">
        <f t="shared" si="18"/>
        <v>0</v>
      </c>
      <c r="E52" s="91">
        <f t="shared" si="19"/>
        <v>0</v>
      </c>
      <c r="F52" s="401">
        <f t="shared" si="20"/>
        <v>0</v>
      </c>
      <c r="G52" s="401">
        <f t="shared" si="21"/>
        <v>0</v>
      </c>
      <c r="H52" s="370">
        <f>SUM(Table371214[[#This Row],[break fix]:[call center]])</f>
        <v>0</v>
      </c>
    </row>
    <row r="53" spans="1:8">
      <c r="A53" s="108" t="s">
        <v>131</v>
      </c>
      <c r="B53" s="109">
        <v>0</v>
      </c>
      <c r="C53" s="90">
        <f t="shared" si="17"/>
        <v>0</v>
      </c>
      <c r="D53" s="88">
        <f t="shared" si="18"/>
        <v>0</v>
      </c>
      <c r="E53" s="91">
        <f t="shared" si="19"/>
        <v>0</v>
      </c>
      <c r="F53" s="401">
        <f t="shared" si="20"/>
        <v>0</v>
      </c>
      <c r="G53" s="401">
        <f t="shared" si="21"/>
        <v>0</v>
      </c>
      <c r="H53" s="370">
        <f>SUM(Table371214[[#This Row],[break fix]:[call center]])</f>
        <v>0</v>
      </c>
    </row>
    <row r="54" spans="1:8">
      <c r="A54" s="108" t="s">
        <v>132</v>
      </c>
      <c r="B54" s="109">
        <v>0</v>
      </c>
      <c r="C54" s="90">
        <f t="shared" si="17"/>
        <v>0</v>
      </c>
      <c r="D54" s="88">
        <f t="shared" si="18"/>
        <v>0</v>
      </c>
      <c r="E54" s="91">
        <f t="shared" si="19"/>
        <v>0</v>
      </c>
      <c r="F54" s="401">
        <f t="shared" si="20"/>
        <v>0</v>
      </c>
      <c r="G54" s="401">
        <f t="shared" si="21"/>
        <v>0</v>
      </c>
      <c r="H54" s="370">
        <f>SUM(Table371214[[#This Row],[break fix]:[call center]])</f>
        <v>0</v>
      </c>
    </row>
    <row r="55" spans="1:8">
      <c r="A55" s="108" t="s">
        <v>133</v>
      </c>
      <c r="B55" s="109">
        <v>0</v>
      </c>
      <c r="C55" s="90">
        <f t="shared" si="17"/>
        <v>0</v>
      </c>
      <c r="D55" s="88">
        <f t="shared" si="18"/>
        <v>0</v>
      </c>
      <c r="E55" s="91">
        <f t="shared" si="19"/>
        <v>0</v>
      </c>
      <c r="F55" s="401">
        <f t="shared" si="20"/>
        <v>0</v>
      </c>
      <c r="G55" s="401">
        <f t="shared" si="21"/>
        <v>0</v>
      </c>
      <c r="H55" s="370">
        <f>SUM(Table371214[[#This Row],[break fix]:[call center]])</f>
        <v>0</v>
      </c>
    </row>
    <row r="56" spans="1:8">
      <c r="A56" s="108" t="s">
        <v>134</v>
      </c>
      <c r="B56" s="109">
        <v>0</v>
      </c>
      <c r="C56" s="90">
        <f t="shared" si="17"/>
        <v>0</v>
      </c>
      <c r="D56" s="88">
        <f t="shared" si="18"/>
        <v>0</v>
      </c>
      <c r="E56" s="91">
        <f t="shared" si="19"/>
        <v>0</v>
      </c>
      <c r="F56" s="401">
        <f t="shared" si="20"/>
        <v>0</v>
      </c>
      <c r="G56" s="401">
        <f t="shared" si="21"/>
        <v>0</v>
      </c>
      <c r="H56" s="370">
        <f>SUM(Table371214[[#This Row],[break fix]:[call center]])</f>
        <v>0</v>
      </c>
    </row>
    <row r="57" spans="1:8">
      <c r="A57" s="108" t="s">
        <v>135</v>
      </c>
      <c r="B57" s="109">
        <v>0</v>
      </c>
      <c r="C57" s="90">
        <f t="shared" si="17"/>
        <v>0</v>
      </c>
      <c r="D57" s="88">
        <f t="shared" si="18"/>
        <v>0</v>
      </c>
      <c r="E57" s="91">
        <f t="shared" si="19"/>
        <v>0</v>
      </c>
      <c r="F57" s="401">
        <f t="shared" si="20"/>
        <v>0</v>
      </c>
      <c r="G57" s="401">
        <f t="shared" si="21"/>
        <v>0</v>
      </c>
      <c r="H57" s="370">
        <f>SUM(Table371214[[#This Row],[break fix]:[call center]])</f>
        <v>0</v>
      </c>
    </row>
    <row r="58" spans="1:8">
      <c r="A58" s="108" t="s">
        <v>136</v>
      </c>
      <c r="B58" s="109">
        <v>0</v>
      </c>
      <c r="C58" s="90">
        <f t="shared" si="17"/>
        <v>0</v>
      </c>
      <c r="D58" s="88">
        <f t="shared" si="18"/>
        <v>0</v>
      </c>
      <c r="E58" s="91">
        <f t="shared" si="19"/>
        <v>0</v>
      </c>
      <c r="F58" s="401">
        <f t="shared" si="20"/>
        <v>0</v>
      </c>
      <c r="G58" s="401">
        <f t="shared" si="21"/>
        <v>0</v>
      </c>
      <c r="H58" s="370">
        <f>SUM(Table371214[[#This Row],[break fix]:[call center]])</f>
        <v>0</v>
      </c>
    </row>
    <row r="59" spans="1:8">
      <c r="A59" s="369"/>
      <c r="B59" s="109" t="s">
        <v>34</v>
      </c>
      <c r="C59" s="142"/>
      <c r="D59" s="143"/>
      <c r="E59" s="368"/>
      <c r="F59" s="392"/>
      <c r="G59" s="401"/>
      <c r="H59" s="401"/>
    </row>
    <row r="60" spans="1:8">
      <c r="A60" s="367"/>
      <c r="B60" s="109"/>
      <c r="C60" s="144">
        <f>SUBTOTAL(109,C48:C59)</f>
        <v>0</v>
      </c>
      <c r="D60" s="144">
        <f>SUBTOTAL(109,D48:D59)</f>
        <v>0</v>
      </c>
      <c r="E60" s="144">
        <f>SUBTOTAL(109,E48:E59)</f>
        <v>0</v>
      </c>
      <c r="F60" s="392"/>
      <c r="G60" s="401">
        <f>SUM(G48:G58)</f>
        <v>0</v>
      </c>
      <c r="H60" s="401"/>
    </row>
    <row r="61" spans="1:8" ht="14.45" customHeight="1" thickBot="1">
      <c r="A61" s="392"/>
      <c r="B61" s="397"/>
      <c r="C61" s="397"/>
      <c r="D61" s="392"/>
      <c r="E61" s="392"/>
      <c r="F61" s="392"/>
      <c r="G61" s="392"/>
      <c r="H61" s="401"/>
    </row>
    <row r="62" spans="1:8" ht="14.45" customHeight="1" thickBot="1">
      <c r="A62" s="365" t="s">
        <v>137</v>
      </c>
      <c r="B62" s="366">
        <f>SUM(C60:E60)</f>
        <v>0</v>
      </c>
      <c r="C62" s="397"/>
      <c r="D62" s="365" t="s">
        <v>138</v>
      </c>
      <c r="E62" s="145">
        <f>SUM(D60:E60)/60</f>
        <v>0</v>
      </c>
      <c r="F62" s="392"/>
      <c r="G62" s="392"/>
      <c r="H62" s="401"/>
    </row>
    <row r="63" spans="1:8">
      <c r="A63" s="392" t="s">
        <v>139</v>
      </c>
      <c r="B63" s="397">
        <v>0</v>
      </c>
      <c r="C63" s="397"/>
      <c r="D63" s="392"/>
      <c r="E63" s="392"/>
      <c r="F63" s="392"/>
      <c r="G63" s="392"/>
      <c r="H63" s="401"/>
    </row>
    <row r="64" spans="1:8">
      <c r="A64" s="392"/>
      <c r="B64" s="401">
        <f>SUM(B62:B63)</f>
        <v>0</v>
      </c>
      <c r="C64" s="397"/>
      <c r="D64" s="392"/>
      <c r="E64" s="392"/>
      <c r="F64" s="392"/>
      <c r="G64" s="392"/>
      <c r="H64" s="401"/>
    </row>
  </sheetData>
  <mergeCells count="5">
    <mergeCell ref="A31:C31"/>
    <mergeCell ref="L1:P1"/>
    <mergeCell ref="C15:F15"/>
    <mergeCell ref="A46:E46"/>
    <mergeCell ref="G15:J15"/>
  </mergeCells>
  <pageMargins left="0.7" right="0.7" top="0.75" bottom="0.75" header="0.3" footer="0.3"/>
  <pageSetup orientation="portrait"/>
  <headerFooter>
    <oddFooter>&amp;C_x000D_&amp;1#&amp;"Calibri"&amp;10&amp;K008000 GENERAL</oddFooter>
  </headerFooter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</sheetPr>
  <dimension ref="B1:Q80"/>
  <sheetViews>
    <sheetView showGridLines="0" zoomScale="97" workbookViewId="0">
      <selection activeCell="E86" sqref="E86"/>
    </sheetView>
  </sheetViews>
  <sheetFormatPr defaultRowHeight="14.1"/>
  <cols>
    <col min="1" max="1" width="2.625" customWidth="1"/>
    <col min="2" max="2" width="27.5" customWidth="1"/>
    <col min="3" max="3" width="13.125" style="86" bestFit="1" customWidth="1"/>
    <col min="4" max="4" width="23" style="86" customWidth="1"/>
    <col min="5" max="5" width="19.875" bestFit="1" customWidth="1"/>
    <col min="6" max="6" width="19.5" bestFit="1" customWidth="1"/>
    <col min="7" max="7" width="16.5" bestFit="1" customWidth="1"/>
    <col min="8" max="8" width="23" customWidth="1"/>
    <col min="9" max="9" width="29.125" style="85" bestFit="1" customWidth="1"/>
    <col min="10" max="10" width="24.5" style="85" bestFit="1" customWidth="1"/>
    <col min="11" max="11" width="21.625" style="85" bestFit="1" customWidth="1"/>
    <col min="12" max="12" width="16.125" bestFit="1" customWidth="1"/>
    <col min="13" max="13" width="10.875" bestFit="1" customWidth="1"/>
    <col min="14" max="15" width="16.125" bestFit="1" customWidth="1"/>
    <col min="16" max="16" width="15.375" bestFit="1" customWidth="1"/>
    <col min="17" max="17" width="10.875" bestFit="1" customWidth="1"/>
    <col min="18" max="18" width="10.875" customWidth="1"/>
    <col min="19" max="19" width="9.625" bestFit="1" customWidth="1"/>
    <col min="20" max="20" width="9.875" bestFit="1" customWidth="1"/>
    <col min="21" max="21" width="17.5" bestFit="1" customWidth="1"/>
    <col min="22" max="22" width="18.5" bestFit="1" customWidth="1"/>
    <col min="23" max="23" width="10.875" bestFit="1" customWidth="1"/>
    <col min="26" max="26" width="12.125" bestFit="1" customWidth="1"/>
  </cols>
  <sheetData>
    <row r="1" spans="2:17" ht="14.45" customHeight="1" thickBot="1">
      <c r="B1" s="392"/>
      <c r="C1" s="397"/>
      <c r="D1" s="397"/>
      <c r="E1" s="392"/>
      <c r="F1" s="392"/>
      <c r="G1" s="392"/>
      <c r="H1" s="392"/>
      <c r="I1" s="401"/>
      <c r="J1" s="401"/>
      <c r="K1" s="401"/>
      <c r="L1" s="392"/>
      <c r="M1" s="392"/>
      <c r="N1" s="392"/>
      <c r="O1" s="392"/>
      <c r="P1" s="392"/>
      <c r="Q1" s="392"/>
    </row>
    <row r="2" spans="2:17" ht="14.45" customHeight="1" thickBot="1">
      <c r="B2" s="284" t="s">
        <v>53</v>
      </c>
      <c r="C2" s="285" t="s">
        <v>54</v>
      </c>
      <c r="D2" s="132" t="s">
        <v>55</v>
      </c>
      <c r="E2" s="133" t="s">
        <v>56</v>
      </c>
      <c r="F2" s="133" t="s">
        <v>57</v>
      </c>
      <c r="G2" s="133" t="s">
        <v>58</v>
      </c>
      <c r="H2" s="132" t="s">
        <v>59</v>
      </c>
      <c r="I2" s="133" t="s">
        <v>60</v>
      </c>
      <c r="J2" s="133" t="s">
        <v>61</v>
      </c>
      <c r="K2" s="133" t="s">
        <v>62</v>
      </c>
      <c r="L2" s="134" t="s">
        <v>63</v>
      </c>
      <c r="M2" s="418" t="s">
        <v>64</v>
      </c>
      <c r="N2" s="444"/>
      <c r="O2" s="444"/>
      <c r="P2" s="444"/>
      <c r="Q2" s="445"/>
    </row>
    <row r="3" spans="2:17">
      <c r="B3" s="99"/>
      <c r="C3" s="100" t="s">
        <v>26</v>
      </c>
      <c r="D3" s="101" t="s">
        <v>65</v>
      </c>
      <c r="E3" s="102" t="s">
        <v>56</v>
      </c>
      <c r="F3" s="103" t="s">
        <v>57</v>
      </c>
      <c r="G3" s="104" t="s">
        <v>58</v>
      </c>
      <c r="H3" s="105" t="s">
        <v>140</v>
      </c>
      <c r="I3" s="106" t="s">
        <v>141</v>
      </c>
      <c r="J3" s="107" t="s">
        <v>61</v>
      </c>
      <c r="K3" s="107" t="s">
        <v>142</v>
      </c>
      <c r="L3" s="286"/>
      <c r="M3" s="404" t="s">
        <v>67</v>
      </c>
      <c r="N3" s="404" t="s">
        <v>68</v>
      </c>
      <c r="O3" s="404" t="s">
        <v>69</v>
      </c>
      <c r="P3" s="404" t="s">
        <v>70</v>
      </c>
      <c r="Q3" s="404" t="s">
        <v>71</v>
      </c>
    </row>
    <row r="4" spans="2:17">
      <c r="B4" s="108"/>
      <c r="C4" s="178">
        <v>0</v>
      </c>
      <c r="D4" s="110">
        <f>SUM(669.57*60*C4)</f>
        <v>0</v>
      </c>
      <c r="E4" s="111">
        <f>SUM(178.34*C4*60)</f>
        <v>0</v>
      </c>
      <c r="F4" s="112">
        <f>SUM(1841.32*60*C4)</f>
        <v>0</v>
      </c>
      <c r="G4" s="113">
        <f>SUM(D4:F4)</f>
        <v>0</v>
      </c>
      <c r="H4" s="136">
        <f>SUM(147.25*C4*60)</f>
        <v>0</v>
      </c>
      <c r="I4" s="115">
        <f>1307.05*60*C4</f>
        <v>0</v>
      </c>
      <c r="J4" s="114">
        <f>509.16*60*C4</f>
        <v>0</v>
      </c>
      <c r="K4" s="114">
        <f>464*60*C4</f>
        <v>0</v>
      </c>
      <c r="L4" s="287">
        <f>SUM(Table48[[#This Row],[Install]:[Call Center]])</f>
        <v>0</v>
      </c>
      <c r="M4" s="401"/>
      <c r="N4" s="401"/>
      <c r="O4" s="401"/>
      <c r="P4" s="98"/>
      <c r="Q4" s="180"/>
    </row>
    <row r="5" spans="2:17">
      <c r="B5" s="108"/>
      <c r="C5" s="178">
        <v>2</v>
      </c>
      <c r="D5" s="110">
        <f>SUM(0*60*C5)</f>
        <v>0</v>
      </c>
      <c r="E5" s="111">
        <f>SUM(0*C5*60)</f>
        <v>0</v>
      </c>
      <c r="F5" s="112">
        <f>SUM(0*60*C5)</f>
        <v>0</v>
      </c>
      <c r="G5" s="113">
        <f>SUM(D5:F5)</f>
        <v>0</v>
      </c>
      <c r="H5" s="136">
        <f>SUM(0*C5*60)</f>
        <v>0</v>
      </c>
      <c r="I5" s="115">
        <f>0*60*C5</f>
        <v>0</v>
      </c>
      <c r="J5" s="114">
        <f>0*60*C5</f>
        <v>0</v>
      </c>
      <c r="K5" s="114">
        <f>0*60*C5</f>
        <v>0</v>
      </c>
      <c r="L5" s="287">
        <f>SUM(Table48[[#This Row],[Install]:[Call Center]])</f>
        <v>0</v>
      </c>
      <c r="M5" s="401"/>
      <c r="N5" s="401"/>
      <c r="O5" s="401"/>
      <c r="P5" s="98"/>
      <c r="Q5" s="180"/>
    </row>
    <row r="6" spans="2:17">
      <c r="B6" s="108"/>
      <c r="C6" s="178">
        <v>2</v>
      </c>
      <c r="D6" s="110">
        <f>SUM(0*60*C6)</f>
        <v>0</v>
      </c>
      <c r="E6" s="111">
        <f>SUM(0*C6*60)</f>
        <v>0</v>
      </c>
      <c r="F6" s="112">
        <f>SUM(0*60*C6)</f>
        <v>0</v>
      </c>
      <c r="G6" s="113">
        <f>SUM(D6:F6)</f>
        <v>0</v>
      </c>
      <c r="H6" s="136">
        <f>SUM(0*C6*60)</f>
        <v>0</v>
      </c>
      <c r="I6" s="115">
        <f>0*60*C6</f>
        <v>0</v>
      </c>
      <c r="J6" s="114">
        <f>0*60*C6</f>
        <v>0</v>
      </c>
      <c r="K6" s="114">
        <f>0*60*C6</f>
        <v>0</v>
      </c>
      <c r="L6" s="287">
        <f>SUM(Table48[[#This Row],[Install]:[Call Center]])</f>
        <v>0</v>
      </c>
      <c r="M6" s="401"/>
      <c r="N6" s="401"/>
      <c r="O6" s="401"/>
      <c r="P6" s="98"/>
      <c r="Q6" s="180"/>
    </row>
    <row r="7" spans="2:17">
      <c r="B7" s="108"/>
      <c r="C7" s="178">
        <v>0</v>
      </c>
      <c r="D7" s="110">
        <f>SUM(20.15*60*C7)</f>
        <v>0</v>
      </c>
      <c r="E7" s="111">
        <f>SUM(65*C7*60)</f>
        <v>0</v>
      </c>
      <c r="F7" s="112">
        <f>SUM(53.78*60*C7)</f>
        <v>0</v>
      </c>
      <c r="G7" s="113">
        <f>SUM(D7:F7)</f>
        <v>0</v>
      </c>
      <c r="H7" s="136">
        <f>SUM(81.7*C7*60)</f>
        <v>0</v>
      </c>
      <c r="I7" s="115">
        <f>0*60*C7</f>
        <v>0</v>
      </c>
      <c r="J7" s="114">
        <f>40.69*60*C7</f>
        <v>0</v>
      </c>
      <c r="K7" s="114">
        <f>48*60*C7</f>
        <v>0</v>
      </c>
      <c r="L7" s="287">
        <f>SUM(Table48[[#This Row],[Install]:[Call Center]])</f>
        <v>0</v>
      </c>
      <c r="M7" s="401"/>
      <c r="N7" s="401"/>
      <c r="O7" s="401"/>
      <c r="P7" s="98"/>
      <c r="Q7" s="180"/>
    </row>
    <row r="8" spans="2:17">
      <c r="B8" s="117" t="s">
        <v>83</v>
      </c>
      <c r="C8" s="15"/>
      <c r="D8" s="118">
        <f t="shared" ref="D8:K8" si="0">SUM(D4:D7)</f>
        <v>0</v>
      </c>
      <c r="E8" s="118">
        <f t="shared" si="0"/>
        <v>0</v>
      </c>
      <c r="F8" s="118">
        <f t="shared" si="0"/>
        <v>0</v>
      </c>
      <c r="G8" s="119">
        <f t="shared" si="0"/>
        <v>0</v>
      </c>
      <c r="H8" s="118">
        <f t="shared" si="0"/>
        <v>0</v>
      </c>
      <c r="I8" s="118">
        <f t="shared" si="0"/>
        <v>0</v>
      </c>
      <c r="J8" s="118">
        <f t="shared" si="0"/>
        <v>0</v>
      </c>
      <c r="K8" s="118">
        <f t="shared" si="0"/>
        <v>0</v>
      </c>
      <c r="L8" s="287">
        <f>SUM(Table48[[#This Row],[Install]:[Call Center]])</f>
        <v>0</v>
      </c>
      <c r="M8" s="401"/>
      <c r="N8" s="401"/>
      <c r="O8" s="401"/>
      <c r="P8" s="392"/>
      <c r="Q8" s="392"/>
    </row>
    <row r="9" spans="2:17" ht="14.45" customHeight="1" thickBot="1">
      <c r="B9" s="288"/>
      <c r="C9" s="139"/>
      <c r="D9" s="416" t="s">
        <v>68</v>
      </c>
      <c r="E9" s="446"/>
      <c r="F9" s="446"/>
      <c r="G9" s="447"/>
      <c r="H9" s="416" t="s">
        <v>68</v>
      </c>
      <c r="I9" s="446"/>
      <c r="J9" s="446"/>
      <c r="K9" s="447"/>
      <c r="L9" s="289"/>
      <c r="M9" s="401"/>
      <c r="N9" s="392"/>
      <c r="O9" s="392"/>
      <c r="P9" s="392"/>
      <c r="Q9" s="392"/>
    </row>
    <row r="10" spans="2:17" ht="14.45" customHeight="1" thickBot="1">
      <c r="B10" s="120" t="s">
        <v>84</v>
      </c>
      <c r="C10" s="121" t="s">
        <v>54</v>
      </c>
      <c r="D10" s="132" t="s">
        <v>55</v>
      </c>
      <c r="E10" s="133" t="s">
        <v>56</v>
      </c>
      <c r="F10" s="133" t="s">
        <v>57</v>
      </c>
      <c r="G10" s="160" t="s">
        <v>63</v>
      </c>
      <c r="H10" s="132" t="s">
        <v>59</v>
      </c>
      <c r="I10" s="133" t="s">
        <v>60</v>
      </c>
      <c r="J10" s="133" t="s">
        <v>61</v>
      </c>
      <c r="K10" s="133" t="s">
        <v>62</v>
      </c>
      <c r="L10" s="161" t="s">
        <v>85</v>
      </c>
      <c r="M10" s="392"/>
      <c r="N10" s="392"/>
      <c r="O10" s="392"/>
      <c r="P10" s="392"/>
      <c r="Q10" s="392"/>
    </row>
    <row r="11" spans="2:17" ht="14.45" customHeight="1" thickBot="1">
      <c r="B11" s="108"/>
      <c r="C11" s="178">
        <v>0</v>
      </c>
      <c r="D11" s="122">
        <f t="shared" ref="D11:F14" si="1">D4/60</f>
        <v>0</v>
      </c>
      <c r="E11" s="123">
        <f t="shared" si="1"/>
        <v>0</v>
      </c>
      <c r="F11" s="124">
        <f t="shared" si="1"/>
        <v>0</v>
      </c>
      <c r="G11" s="113">
        <f>SUM(D11:F11)</f>
        <v>0</v>
      </c>
      <c r="H11" s="158">
        <f t="shared" ref="H11:K14" si="2">H4/60</f>
        <v>0</v>
      </c>
      <c r="I11" s="159">
        <f t="shared" si="2"/>
        <v>0</v>
      </c>
      <c r="J11" s="137">
        <f t="shared" si="2"/>
        <v>0</v>
      </c>
      <c r="K11" s="138">
        <f t="shared" si="2"/>
        <v>0</v>
      </c>
      <c r="L11" s="290">
        <f>SUM(Table29[[#This Row],[Install]:[Call Center]])</f>
        <v>0</v>
      </c>
      <c r="M11" s="392"/>
      <c r="N11" s="392"/>
      <c r="O11" s="392"/>
      <c r="P11" s="392"/>
      <c r="Q11" s="392"/>
    </row>
    <row r="12" spans="2:17" ht="14.45" customHeight="1" thickBot="1">
      <c r="B12" s="108"/>
      <c r="C12" s="178">
        <v>0</v>
      </c>
      <c r="D12" s="122">
        <f t="shared" si="1"/>
        <v>0</v>
      </c>
      <c r="E12" s="123">
        <f t="shared" si="1"/>
        <v>0</v>
      </c>
      <c r="F12" s="124">
        <f t="shared" si="1"/>
        <v>0</v>
      </c>
      <c r="G12" s="113">
        <f>SUM(D12:F12)</f>
        <v>0</v>
      </c>
      <c r="H12" s="158">
        <f t="shared" si="2"/>
        <v>0</v>
      </c>
      <c r="I12" s="159">
        <f t="shared" si="2"/>
        <v>0</v>
      </c>
      <c r="J12" s="137">
        <f t="shared" si="2"/>
        <v>0</v>
      </c>
      <c r="K12" s="138">
        <f t="shared" si="2"/>
        <v>0</v>
      </c>
      <c r="L12" s="290">
        <f>SUM(Table29[[#This Row],[Install]:[Call Center]])</f>
        <v>0</v>
      </c>
      <c r="M12" s="392"/>
      <c r="N12" s="392"/>
      <c r="O12" s="392"/>
      <c r="P12" s="392"/>
      <c r="Q12" s="392"/>
    </row>
    <row r="13" spans="2:17">
      <c r="B13" s="108"/>
      <c r="C13" s="178">
        <v>0</v>
      </c>
      <c r="D13" s="122">
        <f t="shared" si="1"/>
        <v>0</v>
      </c>
      <c r="E13" s="123">
        <f t="shared" si="1"/>
        <v>0</v>
      </c>
      <c r="F13" s="124">
        <f t="shared" si="1"/>
        <v>0</v>
      </c>
      <c r="G13" s="113">
        <f>SUM(D13:F13)</f>
        <v>0</v>
      </c>
      <c r="H13" s="158">
        <f t="shared" si="2"/>
        <v>0</v>
      </c>
      <c r="I13" s="159">
        <f t="shared" si="2"/>
        <v>0</v>
      </c>
      <c r="J13" s="137">
        <f t="shared" si="2"/>
        <v>0</v>
      </c>
      <c r="K13" s="138">
        <f t="shared" si="2"/>
        <v>0</v>
      </c>
      <c r="L13" s="290">
        <f>SUM(Table29[[#This Row],[Install]:[Call Center]])</f>
        <v>0</v>
      </c>
      <c r="M13" s="392"/>
      <c r="N13" s="392"/>
      <c r="O13" s="392"/>
      <c r="P13" s="392"/>
      <c r="Q13" s="392"/>
    </row>
    <row r="14" spans="2:17">
      <c r="B14" s="108"/>
      <c r="C14" s="178">
        <v>0</v>
      </c>
      <c r="D14" s="116">
        <f t="shared" si="1"/>
        <v>0</v>
      </c>
      <c r="E14" s="111">
        <f t="shared" si="1"/>
        <v>0</v>
      </c>
      <c r="F14" s="112">
        <f t="shared" si="1"/>
        <v>0</v>
      </c>
      <c r="G14" s="113">
        <f>SUM(D14:F14)</f>
        <v>0</v>
      </c>
      <c r="H14" s="181">
        <f t="shared" si="2"/>
        <v>0</v>
      </c>
      <c r="I14" s="182">
        <f t="shared" si="2"/>
        <v>0</v>
      </c>
      <c r="J14" s="183">
        <f t="shared" si="2"/>
        <v>0</v>
      </c>
      <c r="K14" s="114">
        <f t="shared" si="2"/>
        <v>0</v>
      </c>
      <c r="L14" s="290">
        <f>SUM(Table29[[#This Row],[Install]:[Call Center]])</f>
        <v>0</v>
      </c>
      <c r="M14" s="392"/>
      <c r="N14" s="392"/>
      <c r="O14" s="392"/>
      <c r="P14" s="392"/>
      <c r="Q14" s="392"/>
    </row>
    <row r="15" spans="2:17" ht="14.45" customHeight="1" thickBot="1">
      <c r="B15" s="291"/>
      <c r="C15" s="292"/>
      <c r="D15" s="293">
        <f>SUM(Table29[Integration])</f>
        <v>0</v>
      </c>
      <c r="E15" s="294">
        <f>SUBTOTAL(109,Table29[Delivery])</f>
        <v>0</v>
      </c>
      <c r="F15" s="295">
        <f>SUBTOTAL(109,Table29[title 60 months])</f>
        <v>0</v>
      </c>
      <c r="G15" s="296">
        <f>SUBTOTAL(109,Table29[CSOW])</f>
        <v>0</v>
      </c>
      <c r="H15" s="297">
        <f>SUBTOTAL(109,Table29[Install])</f>
        <v>0</v>
      </c>
      <c r="I15" s="298">
        <f>SUBTOTAL(109,Table29[PMO])</f>
        <v>0</v>
      </c>
      <c r="J15" s="299">
        <f>SUBTOTAL(109,Table29[Break/Fix])</f>
        <v>0</v>
      </c>
      <c r="K15" s="300">
        <f>SUBTOTAL(109,Table29[Call Center])</f>
        <v>0</v>
      </c>
      <c r="L15" s="301">
        <f>SUBTOTAL(109,Table29[CSOW2])</f>
        <v>0</v>
      </c>
      <c r="M15" s="404"/>
      <c r="N15" s="404"/>
      <c r="O15" s="404"/>
      <c r="P15" s="404"/>
      <c r="Q15" s="392"/>
    </row>
    <row r="16" spans="2:17" ht="14.45" customHeight="1" thickBot="1">
      <c r="B16" s="281"/>
      <c r="C16" s="282" t="s">
        <v>97</v>
      </c>
      <c r="D16" s="282"/>
      <c r="E16" s="283">
        <f>SUM(D8:F8,H8:K8)</f>
        <v>0</v>
      </c>
      <c r="F16" s="392"/>
      <c r="G16" s="392"/>
      <c r="H16" s="392"/>
      <c r="I16" s="401"/>
      <c r="J16" s="401"/>
      <c r="K16" s="401"/>
      <c r="L16" s="392"/>
      <c r="M16" s="392"/>
      <c r="N16" s="392"/>
      <c r="O16" s="392"/>
      <c r="P16" s="392"/>
      <c r="Q16" s="392"/>
    </row>
    <row r="17" spans="2:12" ht="14.45" customHeight="1" thickBot="1">
      <c r="B17" s="392"/>
      <c r="C17" s="397"/>
      <c r="D17" s="397"/>
      <c r="E17" s="392"/>
      <c r="F17" s="392"/>
      <c r="G17" s="392"/>
      <c r="H17" s="174" t="s">
        <v>98</v>
      </c>
      <c r="I17" s="175">
        <f>SUM(G15,L15)</f>
        <v>0</v>
      </c>
      <c r="J17" s="401"/>
      <c r="K17" s="401"/>
      <c r="L17" s="401"/>
    </row>
    <row r="18" spans="2:12" ht="14.45" customHeight="1" thickBot="1">
      <c r="B18" s="420" t="s">
        <v>100</v>
      </c>
      <c r="C18" s="414"/>
      <c r="D18" s="414"/>
      <c r="E18" s="433"/>
      <c r="F18" s="392"/>
      <c r="G18" s="392"/>
      <c r="H18" s="172" t="s">
        <v>101</v>
      </c>
      <c r="I18" s="173">
        <f>L25</f>
        <v>0</v>
      </c>
      <c r="J18" s="401"/>
      <c r="K18" s="280" t="s">
        <v>99</v>
      </c>
      <c r="L18" s="145">
        <f>SUM(I8:K8)</f>
        <v>0</v>
      </c>
    </row>
    <row r="19" spans="2:12" ht="14.45" customHeight="1" thickBot="1">
      <c r="B19" s="32" t="s">
        <v>53</v>
      </c>
      <c r="C19" s="16" t="s">
        <v>102</v>
      </c>
      <c r="D19" s="351" t="s">
        <v>103</v>
      </c>
      <c r="E19" s="351" t="s">
        <v>143</v>
      </c>
      <c r="F19" s="392"/>
      <c r="G19" s="392"/>
      <c r="H19" s="172" t="s">
        <v>104</v>
      </c>
      <c r="I19" s="173">
        <f>L26</f>
        <v>0</v>
      </c>
      <c r="J19" s="401"/>
      <c r="K19" s="401"/>
      <c r="L19" s="392"/>
    </row>
    <row r="20" spans="2:12" ht="14.45" customHeight="1" thickTop="1">
      <c r="B20" s="341"/>
      <c r="C20" s="342">
        <v>0</v>
      </c>
      <c r="D20" s="343">
        <f>0*C20</f>
        <v>0</v>
      </c>
      <c r="E20" s="344">
        <v>0</v>
      </c>
      <c r="F20" s="89"/>
      <c r="G20" s="392"/>
      <c r="H20" s="392"/>
      <c r="I20" s="401"/>
      <c r="J20" s="401"/>
      <c r="K20" s="401"/>
      <c r="L20" s="401"/>
    </row>
    <row r="21" spans="2:12">
      <c r="B21" s="345"/>
      <c r="C21" s="397">
        <v>0</v>
      </c>
      <c r="D21" s="340">
        <f>(0)*C21</f>
        <v>0</v>
      </c>
      <c r="E21" s="346">
        <f>464*C21*60</f>
        <v>0</v>
      </c>
      <c r="F21" s="89"/>
      <c r="G21" s="392"/>
      <c r="H21" s="392"/>
      <c r="I21" s="401"/>
      <c r="J21" s="401"/>
      <c r="K21" s="401"/>
      <c r="L21" s="401"/>
    </row>
    <row r="22" spans="2:12">
      <c r="B22" s="345"/>
      <c r="C22" s="397">
        <v>0</v>
      </c>
      <c r="D22" s="340">
        <f>(0)*C22</f>
        <v>0</v>
      </c>
      <c r="E22" s="346">
        <f>112*C22*60</f>
        <v>0</v>
      </c>
      <c r="F22" s="89"/>
      <c r="G22" s="392"/>
      <c r="H22" s="392"/>
      <c r="I22" s="401"/>
      <c r="J22" s="401"/>
      <c r="K22" s="401"/>
      <c r="L22" s="401"/>
    </row>
    <row r="23" spans="2:12" ht="14.45" customHeight="1" thickBot="1">
      <c r="B23" s="345"/>
      <c r="C23" s="397">
        <v>0</v>
      </c>
      <c r="D23" s="340">
        <f>0*C23</f>
        <v>0</v>
      </c>
      <c r="E23" s="346"/>
      <c r="F23" s="89"/>
      <c r="G23" s="392"/>
      <c r="H23" s="392"/>
      <c r="I23" s="401"/>
      <c r="J23" s="401"/>
      <c r="K23" s="401"/>
      <c r="L23" s="401"/>
    </row>
    <row r="24" spans="2:12" ht="14.45" customHeight="1" thickBot="1">
      <c r="B24" s="347"/>
      <c r="C24" s="348" t="s">
        <v>116</v>
      </c>
      <c r="D24" s="349">
        <f>SUBTOTAL(109,D20:D23)</f>
        <v>0</v>
      </c>
      <c r="E24" s="350">
        <f>SUBTOTAL(109,E20:E23)</f>
        <v>0</v>
      </c>
      <c r="F24" s="392"/>
      <c r="G24" s="392"/>
      <c r="H24" s="164" t="s">
        <v>117</v>
      </c>
      <c r="I24" s="401"/>
      <c r="J24" s="401"/>
      <c r="K24" s="401"/>
      <c r="L24" s="401"/>
    </row>
    <row r="25" spans="2:12" ht="15" customHeight="1" thickTop="1" thickBot="1">
      <c r="B25" s="392"/>
      <c r="C25" s="397"/>
      <c r="D25" s="397"/>
      <c r="E25" s="392"/>
      <c r="F25" s="392"/>
      <c r="G25" s="392"/>
      <c r="H25" s="305">
        <f>SUM(H8,J8:K8)</f>
        <v>0</v>
      </c>
      <c r="I25" s="401"/>
      <c r="J25" s="401"/>
      <c r="K25" s="401"/>
      <c r="L25" s="401"/>
    </row>
    <row r="26" spans="2:12">
      <c r="B26" s="419" t="s">
        <v>118</v>
      </c>
      <c r="C26" s="449"/>
      <c r="D26" s="449"/>
      <c r="E26" s="449"/>
      <c r="F26" s="449"/>
      <c r="G26" s="306" t="s">
        <v>68</v>
      </c>
      <c r="H26" s="399"/>
      <c r="I26" s="399"/>
      <c r="J26" s="400"/>
      <c r="K26" s="401"/>
      <c r="L26" s="401"/>
    </row>
    <row r="27" spans="2:12">
      <c r="B27" s="307" t="s">
        <v>53</v>
      </c>
      <c r="C27" s="17" t="s">
        <v>119</v>
      </c>
      <c r="D27" s="140" t="s">
        <v>120</v>
      </c>
      <c r="E27" s="141" t="s">
        <v>121</v>
      </c>
      <c r="F27" s="135" t="s">
        <v>122</v>
      </c>
      <c r="G27" s="162" t="s">
        <v>123</v>
      </c>
      <c r="H27" s="398" t="s">
        <v>124</v>
      </c>
      <c r="I27" s="398" t="s">
        <v>125</v>
      </c>
      <c r="J27" s="303" t="s">
        <v>84</v>
      </c>
      <c r="K27" s="401"/>
      <c r="L27" s="392"/>
    </row>
    <row r="28" spans="2:12">
      <c r="B28" s="108"/>
      <c r="C28" s="178">
        <v>0</v>
      </c>
      <c r="D28" s="90">
        <f>6626.46*C28</f>
        <v>0</v>
      </c>
      <c r="E28" s="88">
        <f>381.87*C28*60</f>
        <v>0</v>
      </c>
      <c r="F28" s="91">
        <f>348*C28*60</f>
        <v>0</v>
      </c>
      <c r="G28" s="401">
        <f t="shared" ref="G28:H31" si="3">E28/60</f>
        <v>0</v>
      </c>
      <c r="H28" s="401">
        <f t="shared" si="3"/>
        <v>0</v>
      </c>
      <c r="I28" s="401">
        <f>SUM(Table3712[[#This Row],[break fix]:[call center]])</f>
        <v>0</v>
      </c>
      <c r="J28" s="308"/>
      <c r="K28" s="401"/>
      <c r="L28" s="392"/>
    </row>
    <row r="29" spans="2:12">
      <c r="B29" s="108"/>
      <c r="C29" s="178">
        <v>2</v>
      </c>
      <c r="D29" s="90">
        <f>0*C29</f>
        <v>0</v>
      </c>
      <c r="E29" s="88">
        <f>0*C29*60</f>
        <v>0</v>
      </c>
      <c r="F29" s="91">
        <f>0*C29*60</f>
        <v>0</v>
      </c>
      <c r="G29" s="401">
        <f t="shared" si="3"/>
        <v>0</v>
      </c>
      <c r="H29" s="401">
        <f t="shared" si="3"/>
        <v>0</v>
      </c>
      <c r="I29" s="401">
        <f>SUM(Table3712[[#This Row],[break fix]:[call center]])</f>
        <v>0</v>
      </c>
      <c r="J29" s="308"/>
      <c r="K29" s="401"/>
      <c r="L29" s="392"/>
    </row>
    <row r="30" spans="2:12">
      <c r="B30" s="108"/>
      <c r="C30" s="178">
        <v>2</v>
      </c>
      <c r="D30" s="90">
        <f>0*Table3712[[#This Row],[qty]]</f>
        <v>0</v>
      </c>
      <c r="E30" s="88">
        <f>0*C30*60</f>
        <v>0</v>
      </c>
      <c r="F30" s="91">
        <f>0*C30*60</f>
        <v>0</v>
      </c>
      <c r="G30" s="401">
        <f t="shared" si="3"/>
        <v>0</v>
      </c>
      <c r="H30" s="401">
        <f t="shared" si="3"/>
        <v>0</v>
      </c>
      <c r="I30" s="401">
        <f>SUM(Table3712[[#This Row],[break fix]:[call center]])</f>
        <v>0</v>
      </c>
      <c r="J30" s="308"/>
      <c r="K30" s="401"/>
      <c r="L30" s="392"/>
    </row>
    <row r="31" spans="2:12">
      <c r="B31" s="108"/>
      <c r="C31" s="178">
        <v>1</v>
      </c>
      <c r="D31" s="90">
        <f>0*C31</f>
        <v>0</v>
      </c>
      <c r="E31" s="88">
        <f>0*C31*60</f>
        <v>0</v>
      </c>
      <c r="F31" s="91">
        <f>0*C31*60</f>
        <v>0</v>
      </c>
      <c r="G31" s="401">
        <f t="shared" si="3"/>
        <v>0</v>
      </c>
      <c r="H31" s="401">
        <f t="shared" si="3"/>
        <v>0</v>
      </c>
      <c r="I31" s="401">
        <f>SUM(Table3712[[#This Row],[break fix]:[call center]])</f>
        <v>0</v>
      </c>
      <c r="J31" s="308"/>
      <c r="K31" s="401"/>
      <c r="L31" s="392"/>
    </row>
    <row r="32" spans="2:12">
      <c r="B32" s="108"/>
      <c r="C32" s="178">
        <v>1</v>
      </c>
      <c r="D32" s="90">
        <f>2631.58*Table3712[[#This Row],[qty]]</f>
        <v>2631.58</v>
      </c>
      <c r="E32" s="88">
        <v>0</v>
      </c>
      <c r="F32" s="91">
        <f>0*C32*60</f>
        <v>0</v>
      </c>
      <c r="G32" s="401"/>
      <c r="H32" s="401">
        <f>Table3712[[#This Row],[call center]]/60</f>
        <v>0</v>
      </c>
      <c r="I32" s="401"/>
      <c r="J32" s="308"/>
      <c r="K32" s="401"/>
      <c r="L32" s="392"/>
    </row>
    <row r="33" spans="2:12">
      <c r="B33" s="309"/>
      <c r="C33" s="109" t="s">
        <v>34</v>
      </c>
      <c r="D33" s="142"/>
      <c r="E33" s="143"/>
      <c r="F33" s="91"/>
      <c r="G33" s="401"/>
      <c r="H33" s="401"/>
      <c r="I33" s="401"/>
      <c r="J33" s="308"/>
      <c r="K33" s="401"/>
      <c r="L33" s="392"/>
    </row>
    <row r="34" spans="2:12">
      <c r="B34" s="108"/>
      <c r="C34" s="109"/>
      <c r="D34" s="144">
        <f>SUBTOTAL(109,D28:D33)</f>
        <v>2631.58</v>
      </c>
      <c r="E34" s="144">
        <f>SUBTOTAL(109,E28:E33)</f>
        <v>0</v>
      </c>
      <c r="F34" s="144">
        <f>SUBTOTAL(109,F28:F33)</f>
        <v>0</v>
      </c>
      <c r="G34" s="401">
        <f>SUM(G28:G30)</f>
        <v>0</v>
      </c>
      <c r="H34" s="401">
        <f>SUM(H28:H32)</f>
        <v>0</v>
      </c>
      <c r="I34" s="401">
        <f>SUM(I28:I32)</f>
        <v>0</v>
      </c>
      <c r="J34" s="310"/>
      <c r="K34" s="401"/>
      <c r="L34" s="392"/>
    </row>
    <row r="35" spans="2:12" ht="14.45" customHeight="1" thickBot="1">
      <c r="B35" s="291"/>
      <c r="C35" s="292"/>
      <c r="D35" s="311"/>
      <c r="E35" s="312"/>
      <c r="F35" s="313"/>
      <c r="G35" s="44"/>
      <c r="H35" s="276"/>
      <c r="I35" s="276"/>
      <c r="J35" s="253"/>
      <c r="K35" s="401"/>
      <c r="L35" s="392"/>
    </row>
    <row r="36" spans="2:12" ht="14.45" customHeight="1" thickBot="1">
      <c r="B36" s="32" t="s">
        <v>137</v>
      </c>
      <c r="C36" s="252">
        <f>SUM(D34:F34)</f>
        <v>2631.58</v>
      </c>
      <c r="D36" s="397"/>
      <c r="E36" s="251" t="s">
        <v>138</v>
      </c>
      <c r="F36" s="253">
        <f>SUM(E34:F34)/60</f>
        <v>0</v>
      </c>
      <c r="G36" s="392"/>
      <c r="H36" s="392"/>
      <c r="I36" s="401"/>
      <c r="J36" s="401"/>
      <c r="K36" s="401"/>
      <c r="L36" s="392"/>
    </row>
    <row r="37" spans="2:12">
      <c r="B37" s="32" t="s">
        <v>144</v>
      </c>
      <c r="C37" s="252"/>
      <c r="D37" s="397"/>
      <c r="E37" s="392"/>
      <c r="F37" s="392"/>
      <c r="G37" s="392"/>
      <c r="H37" s="392"/>
      <c r="I37" s="401"/>
      <c r="J37" s="401"/>
      <c r="K37" s="401"/>
      <c r="L37" s="392"/>
    </row>
    <row r="38" spans="2:12" ht="14.45" customHeight="1" thickBot="1">
      <c r="B38" s="251" t="s">
        <v>116</v>
      </c>
      <c r="C38" s="253">
        <f>SUM(C36:C37)</f>
        <v>2631.58</v>
      </c>
      <c r="D38" s="397"/>
      <c r="E38" s="392"/>
      <c r="F38" s="392"/>
      <c r="G38" s="392"/>
      <c r="H38" s="392"/>
      <c r="I38" s="401"/>
      <c r="J38" s="401"/>
      <c r="K38" s="401"/>
      <c r="L38" s="392"/>
    </row>
    <row r="41" spans="2:12" hidden="1">
      <c r="B41" s="411" t="s">
        <v>47</v>
      </c>
      <c r="C41" s="414"/>
      <c r="D41" s="414"/>
      <c r="E41" s="433"/>
      <c r="F41" s="433"/>
      <c r="G41" s="433"/>
      <c r="H41" s="433"/>
      <c r="I41" s="450"/>
      <c r="J41" s="98" t="s">
        <v>145</v>
      </c>
      <c r="K41" s="392">
        <f>'Estimator Input'!C9</f>
        <v>0</v>
      </c>
      <c r="L41" s="392"/>
    </row>
    <row r="42" spans="2:12" hidden="1">
      <c r="B42" s="433"/>
      <c r="C42" s="414"/>
      <c r="D42" s="414"/>
      <c r="E42" s="433"/>
      <c r="F42" s="433"/>
      <c r="G42" s="433"/>
      <c r="H42" s="433"/>
      <c r="I42" s="450"/>
      <c r="J42" s="401"/>
      <c r="K42" s="250"/>
      <c r="L42" s="392"/>
    </row>
    <row r="43" spans="2:12" ht="14.45" hidden="1" customHeight="1" thickBot="1">
      <c r="B43" s="392"/>
      <c r="C43" s="397"/>
      <c r="D43" s="397"/>
      <c r="E43" s="392"/>
      <c r="F43" s="392"/>
      <c r="G43" s="392"/>
      <c r="H43" s="392"/>
      <c r="I43" s="401"/>
      <c r="J43" s="401"/>
      <c r="K43" s="401"/>
      <c r="L43" s="392"/>
    </row>
    <row r="44" spans="2:12" ht="14.45" hidden="1" customHeight="1" thickBot="1">
      <c r="B44" s="284" t="s">
        <v>53</v>
      </c>
      <c r="C44" s="285" t="s">
        <v>54</v>
      </c>
      <c r="D44" s="132" t="s">
        <v>55</v>
      </c>
      <c r="E44" s="133" t="s">
        <v>56</v>
      </c>
      <c r="F44" s="133" t="s">
        <v>57</v>
      </c>
      <c r="G44" s="133" t="s">
        <v>58</v>
      </c>
      <c r="H44" s="132" t="s">
        <v>59</v>
      </c>
      <c r="I44" s="133" t="s">
        <v>60</v>
      </c>
      <c r="J44" s="133" t="s">
        <v>61</v>
      </c>
      <c r="K44" s="133" t="s">
        <v>62</v>
      </c>
      <c r="L44" s="134" t="s">
        <v>63</v>
      </c>
    </row>
    <row r="45" spans="2:12" hidden="1">
      <c r="B45" s="99"/>
      <c r="C45" s="100" t="s">
        <v>26</v>
      </c>
      <c r="D45" s="101" t="s">
        <v>65</v>
      </c>
      <c r="E45" s="102" t="s">
        <v>56</v>
      </c>
      <c r="F45" s="103" t="s">
        <v>57</v>
      </c>
      <c r="G45" s="104" t="s">
        <v>58</v>
      </c>
      <c r="H45" s="105" t="s">
        <v>140</v>
      </c>
      <c r="I45" s="106" t="s">
        <v>141</v>
      </c>
      <c r="J45" s="107" t="s">
        <v>61</v>
      </c>
      <c r="K45" s="107" t="s">
        <v>142</v>
      </c>
      <c r="L45" s="286"/>
    </row>
    <row r="46" spans="2:12" hidden="1">
      <c r="B46" s="108"/>
      <c r="C46" s="178">
        <v>0</v>
      </c>
      <c r="D46" s="186">
        <f t="shared" ref="D46:F49" si="4">D4*$K$41</f>
        <v>0</v>
      </c>
      <c r="E46" s="187">
        <f t="shared" si="4"/>
        <v>0</v>
      </c>
      <c r="F46" s="188">
        <f t="shared" si="4"/>
        <v>0</v>
      </c>
      <c r="G46" s="189">
        <f>SUM(D46:F46)</f>
        <v>0</v>
      </c>
      <c r="H46" s="190">
        <f t="shared" ref="H46:K48" si="5">H4*$K$41</f>
        <v>0</v>
      </c>
      <c r="I46" s="191">
        <f t="shared" si="5"/>
        <v>0</v>
      </c>
      <c r="J46" s="192">
        <f t="shared" si="5"/>
        <v>0</v>
      </c>
      <c r="K46" s="192">
        <f t="shared" si="5"/>
        <v>0</v>
      </c>
      <c r="L46" s="315">
        <f>SUM(Table483[[#This Row],[Install]:[Call Center]])</f>
        <v>0</v>
      </c>
    </row>
    <row r="47" spans="2:12" hidden="1">
      <c r="B47" s="108" t="s">
        <v>146</v>
      </c>
      <c r="C47" s="178">
        <v>1</v>
      </c>
      <c r="D47" s="186">
        <f t="shared" si="4"/>
        <v>0</v>
      </c>
      <c r="E47" s="187">
        <f t="shared" si="4"/>
        <v>0</v>
      </c>
      <c r="F47" s="188">
        <f t="shared" si="4"/>
        <v>0</v>
      </c>
      <c r="G47" s="189">
        <f>SUM(D47:F47)</f>
        <v>0</v>
      </c>
      <c r="H47" s="190">
        <f t="shared" si="5"/>
        <v>0</v>
      </c>
      <c r="I47" s="191">
        <f t="shared" si="5"/>
        <v>0</v>
      </c>
      <c r="J47" s="192">
        <f t="shared" si="5"/>
        <v>0</v>
      </c>
      <c r="K47" s="192">
        <f t="shared" si="5"/>
        <v>0</v>
      </c>
      <c r="L47" s="315">
        <f>SUM(Table483[[#This Row],[Install]:[Call Center]])</f>
        <v>0</v>
      </c>
    </row>
    <row r="48" spans="2:12" hidden="1">
      <c r="B48" s="108" t="s">
        <v>147</v>
      </c>
      <c r="C48" s="178">
        <v>1</v>
      </c>
      <c r="D48" s="186">
        <f t="shared" si="4"/>
        <v>0</v>
      </c>
      <c r="E48" s="187">
        <f t="shared" si="4"/>
        <v>0</v>
      </c>
      <c r="F48" s="188">
        <f t="shared" si="4"/>
        <v>0</v>
      </c>
      <c r="G48" s="189">
        <f>SUM(D48:F48)</f>
        <v>0</v>
      </c>
      <c r="H48" s="190">
        <f t="shared" si="5"/>
        <v>0</v>
      </c>
      <c r="I48" s="191">
        <f t="shared" si="5"/>
        <v>0</v>
      </c>
      <c r="J48" s="192">
        <f t="shared" si="5"/>
        <v>0</v>
      </c>
      <c r="K48" s="192">
        <f t="shared" si="5"/>
        <v>0</v>
      </c>
      <c r="L48" s="315">
        <f>SUM(Table483[[#This Row],[Install]:[Call Center]])</f>
        <v>0</v>
      </c>
    </row>
    <row r="49" spans="2:12" hidden="1">
      <c r="B49" s="108" t="s">
        <v>148</v>
      </c>
      <c r="C49" s="178">
        <v>1</v>
      </c>
      <c r="D49" s="186">
        <f t="shared" si="4"/>
        <v>0</v>
      </c>
      <c r="E49" s="187">
        <f t="shared" si="4"/>
        <v>0</v>
      </c>
      <c r="F49" s="188">
        <f t="shared" si="4"/>
        <v>0</v>
      </c>
      <c r="G49" s="189">
        <f>SUM(D49:F49)</f>
        <v>0</v>
      </c>
      <c r="H49" s="190">
        <f>H7*$K$41</f>
        <v>0</v>
      </c>
      <c r="I49" s="191">
        <f>0*60*C49</f>
        <v>0</v>
      </c>
      <c r="J49" s="192">
        <f>J7*$K$41</f>
        <v>0</v>
      </c>
      <c r="K49" s="192">
        <f>K7*$K$41</f>
        <v>0</v>
      </c>
      <c r="L49" s="315">
        <f>SUM(Table483[[#This Row],[Install]:[Call Center]])</f>
        <v>0</v>
      </c>
    </row>
    <row r="50" spans="2:12" hidden="1">
      <c r="B50" s="117" t="s">
        <v>83</v>
      </c>
      <c r="C50" s="15"/>
      <c r="D50" s="194">
        <f t="shared" ref="D50:K50" si="6">SUM(D46:D49)</f>
        <v>0</v>
      </c>
      <c r="E50" s="194">
        <f t="shared" si="6"/>
        <v>0</v>
      </c>
      <c r="F50" s="194">
        <f t="shared" si="6"/>
        <v>0</v>
      </c>
      <c r="G50" s="193">
        <f t="shared" si="6"/>
        <v>0</v>
      </c>
      <c r="H50" s="194">
        <f t="shared" si="6"/>
        <v>0</v>
      </c>
      <c r="I50" s="194">
        <f t="shared" si="6"/>
        <v>0</v>
      </c>
      <c r="J50" s="194">
        <f t="shared" si="6"/>
        <v>0</v>
      </c>
      <c r="K50" s="194">
        <f t="shared" si="6"/>
        <v>0</v>
      </c>
      <c r="L50" s="315">
        <f>SUM(Table483[[#This Row],[Install]:[Call Center]])</f>
        <v>0</v>
      </c>
    </row>
    <row r="51" spans="2:12" ht="14.45" hidden="1" customHeight="1" thickBot="1">
      <c r="B51" s="288"/>
      <c r="C51" s="139"/>
      <c r="D51" s="416" t="s">
        <v>68</v>
      </c>
      <c r="E51" s="446"/>
      <c r="F51" s="446"/>
      <c r="G51" s="447"/>
      <c r="H51" s="416" t="s">
        <v>68</v>
      </c>
      <c r="I51" s="446"/>
      <c r="J51" s="446"/>
      <c r="K51" s="447"/>
      <c r="L51" s="289"/>
    </row>
    <row r="52" spans="2:12" ht="14.45" hidden="1" customHeight="1" thickBot="1">
      <c r="B52" s="120" t="s">
        <v>84</v>
      </c>
      <c r="C52" s="121" t="s">
        <v>54</v>
      </c>
      <c r="D52" s="132" t="s">
        <v>55</v>
      </c>
      <c r="E52" s="133" t="s">
        <v>56</v>
      </c>
      <c r="F52" s="133" t="s">
        <v>57</v>
      </c>
      <c r="G52" s="160" t="s">
        <v>63</v>
      </c>
      <c r="H52" s="132" t="s">
        <v>59</v>
      </c>
      <c r="I52" s="133" t="s">
        <v>60</v>
      </c>
      <c r="J52" s="133" t="s">
        <v>61</v>
      </c>
      <c r="K52" s="133" t="s">
        <v>62</v>
      </c>
      <c r="L52" s="161" t="s">
        <v>85</v>
      </c>
    </row>
    <row r="53" spans="2:12" ht="14.45" hidden="1" customHeight="1" thickBot="1">
      <c r="B53" s="108"/>
      <c r="C53" s="178">
        <v>0</v>
      </c>
      <c r="D53" s="195">
        <f t="shared" ref="D53:F56" si="7">D46/60</f>
        <v>0</v>
      </c>
      <c r="E53" s="196">
        <f t="shared" si="7"/>
        <v>0</v>
      </c>
      <c r="F53" s="197">
        <f t="shared" si="7"/>
        <v>0</v>
      </c>
      <c r="G53" s="189">
        <f>SUM(D53:F53)</f>
        <v>0</v>
      </c>
      <c r="H53" s="198">
        <f t="shared" ref="H53:K56" si="8">H46/60</f>
        <v>0</v>
      </c>
      <c r="I53" s="199">
        <f t="shared" si="8"/>
        <v>0</v>
      </c>
      <c r="J53" s="200">
        <f t="shared" si="8"/>
        <v>0</v>
      </c>
      <c r="K53" s="201">
        <f t="shared" si="8"/>
        <v>0</v>
      </c>
      <c r="L53" s="316">
        <f>SUM(Table294[[#This Row],[Install]:[Call Center]])</f>
        <v>0</v>
      </c>
    </row>
    <row r="54" spans="2:12" ht="14.45" hidden="1" customHeight="1" thickBot="1">
      <c r="B54" s="108" t="s">
        <v>146</v>
      </c>
      <c r="C54" s="178">
        <v>1</v>
      </c>
      <c r="D54" s="195">
        <f t="shared" si="7"/>
        <v>0</v>
      </c>
      <c r="E54" s="196">
        <f t="shared" si="7"/>
        <v>0</v>
      </c>
      <c r="F54" s="197">
        <f t="shared" si="7"/>
        <v>0</v>
      </c>
      <c r="G54" s="189">
        <f>SUM(D54:F54)</f>
        <v>0</v>
      </c>
      <c r="H54" s="198">
        <f t="shared" si="8"/>
        <v>0</v>
      </c>
      <c r="I54" s="199">
        <f t="shared" si="8"/>
        <v>0</v>
      </c>
      <c r="J54" s="200">
        <f t="shared" si="8"/>
        <v>0</v>
      </c>
      <c r="K54" s="201">
        <f t="shared" si="8"/>
        <v>0</v>
      </c>
      <c r="L54" s="316">
        <f>SUM(Table294[[#This Row],[Install]:[Call Center]])</f>
        <v>0</v>
      </c>
    </row>
    <row r="55" spans="2:12" hidden="1">
      <c r="B55" s="108" t="s">
        <v>147</v>
      </c>
      <c r="C55" s="178">
        <v>1</v>
      </c>
      <c r="D55" s="195">
        <f t="shared" si="7"/>
        <v>0</v>
      </c>
      <c r="E55" s="196">
        <f t="shared" si="7"/>
        <v>0</v>
      </c>
      <c r="F55" s="197">
        <f t="shared" si="7"/>
        <v>0</v>
      </c>
      <c r="G55" s="189">
        <f>SUM(D55:F55)</f>
        <v>0</v>
      </c>
      <c r="H55" s="198">
        <f t="shared" si="8"/>
        <v>0</v>
      </c>
      <c r="I55" s="199">
        <f t="shared" si="8"/>
        <v>0</v>
      </c>
      <c r="J55" s="200">
        <f t="shared" si="8"/>
        <v>0</v>
      </c>
      <c r="K55" s="201">
        <f t="shared" si="8"/>
        <v>0</v>
      </c>
      <c r="L55" s="316">
        <f>SUM(Table294[[#This Row],[Install]:[Call Center]])</f>
        <v>0</v>
      </c>
    </row>
    <row r="56" spans="2:12" hidden="1">
      <c r="B56" s="108" t="s">
        <v>148</v>
      </c>
      <c r="C56" s="178">
        <v>1</v>
      </c>
      <c r="D56" s="186">
        <f t="shared" si="7"/>
        <v>0</v>
      </c>
      <c r="E56" s="187">
        <f t="shared" si="7"/>
        <v>0</v>
      </c>
      <c r="F56" s="188">
        <f t="shared" si="7"/>
        <v>0</v>
      </c>
      <c r="G56" s="189">
        <f>SUM(D56:F56)</f>
        <v>0</v>
      </c>
      <c r="H56" s="190">
        <f t="shared" si="8"/>
        <v>0</v>
      </c>
      <c r="I56" s="202">
        <f t="shared" si="8"/>
        <v>0</v>
      </c>
      <c r="J56" s="203">
        <f t="shared" si="8"/>
        <v>0</v>
      </c>
      <c r="K56" s="192">
        <f t="shared" si="8"/>
        <v>0</v>
      </c>
      <c r="L56" s="316">
        <f>SUM(Table294[[#This Row],[Install]:[Call Center]])</f>
        <v>0</v>
      </c>
    </row>
    <row r="57" spans="2:12" ht="14.45" hidden="1" customHeight="1" thickBot="1">
      <c r="B57" s="291"/>
      <c r="C57" s="292"/>
      <c r="D57" s="317">
        <f>SUM(Table294[Integration])</f>
        <v>0</v>
      </c>
      <c r="E57" s="318">
        <f>SUBTOTAL(109,Table294[Delivery])</f>
        <v>0</v>
      </c>
      <c r="F57" s="319">
        <f>SUBTOTAL(109,Table294[title 60 months])</f>
        <v>0</v>
      </c>
      <c r="G57" s="320">
        <f>SUBTOTAL(109,Table294[CSOW])</f>
        <v>0</v>
      </c>
      <c r="H57" s="321">
        <f>SUBTOTAL(109,Table294[Install])</f>
        <v>0</v>
      </c>
      <c r="I57" s="322">
        <f>SUBTOTAL(109,Table294[PMO])</f>
        <v>0</v>
      </c>
      <c r="J57" s="323">
        <f>SUBTOTAL(109,Table294[Break/Fix])</f>
        <v>0</v>
      </c>
      <c r="K57" s="324">
        <f>SUBTOTAL(109,Table294[Call Center])</f>
        <v>0</v>
      </c>
      <c r="L57" s="325">
        <f>SUBTOTAL(109,Table294[CSOW2])</f>
        <v>0</v>
      </c>
    </row>
    <row r="58" spans="2:12" ht="14.45" hidden="1" customHeight="1" thickBot="1">
      <c r="B58" s="281"/>
      <c r="C58" s="282" t="s">
        <v>97</v>
      </c>
      <c r="D58" s="282"/>
      <c r="E58" s="314">
        <f>SUM(D50:F50,H50:K50)</f>
        <v>0</v>
      </c>
      <c r="F58" s="392"/>
      <c r="G58" s="392"/>
      <c r="H58" s="392"/>
      <c r="I58" s="401"/>
      <c r="J58" s="401"/>
      <c r="K58" s="401"/>
      <c r="L58" s="392"/>
    </row>
    <row r="59" spans="2:12" ht="14.45" hidden="1" customHeight="1" thickBot="1">
      <c r="B59" s="392"/>
      <c r="C59" s="397"/>
      <c r="D59" s="397"/>
      <c r="E59" s="392"/>
      <c r="F59" s="174" t="s">
        <v>98</v>
      </c>
      <c r="G59" s="204">
        <f>SUM(G57,L57)</f>
        <v>0</v>
      </c>
      <c r="H59" s="392"/>
      <c r="I59" s="401"/>
      <c r="J59" s="401"/>
      <c r="K59" s="401"/>
      <c r="L59" s="392"/>
    </row>
    <row r="60" spans="2:12" ht="14.45" hidden="1" customHeight="1" thickBot="1">
      <c r="B60" s="421" t="s">
        <v>100</v>
      </c>
      <c r="C60" s="451"/>
      <c r="D60" s="452"/>
      <c r="E60" s="392"/>
      <c r="F60" s="172" t="s">
        <v>101</v>
      </c>
      <c r="G60" s="205">
        <f>I18*K41</f>
        <v>0</v>
      </c>
      <c r="H60" s="392"/>
      <c r="I60" s="179" t="s">
        <v>99</v>
      </c>
      <c r="J60" s="206">
        <f>SUM(I50:K50)</f>
        <v>0</v>
      </c>
      <c r="K60" s="401"/>
      <c r="L60" s="392"/>
    </row>
    <row r="61" spans="2:12" ht="14.45" hidden="1" customHeight="1" thickBot="1">
      <c r="B61" s="302" t="s">
        <v>53</v>
      </c>
      <c r="C61" s="398" t="s">
        <v>102</v>
      </c>
      <c r="D61" s="303" t="s">
        <v>103</v>
      </c>
      <c r="E61" s="392"/>
      <c r="F61" s="172" t="s">
        <v>149</v>
      </c>
      <c r="G61" s="205">
        <f>I19*K41</f>
        <v>0</v>
      </c>
      <c r="H61" s="392"/>
      <c r="I61" s="401"/>
      <c r="J61" s="401"/>
      <c r="K61" s="401"/>
      <c r="L61" s="392"/>
    </row>
    <row r="62" spans="2:12" hidden="1">
      <c r="B62" s="108"/>
      <c r="C62" s="178">
        <v>0</v>
      </c>
      <c r="D62" s="326">
        <f>23120.38*C62*K41</f>
        <v>0</v>
      </c>
      <c r="E62" s="392"/>
      <c r="F62" s="89"/>
      <c r="G62" s="392"/>
      <c r="H62" s="392"/>
      <c r="I62" s="401"/>
      <c r="J62" s="401"/>
      <c r="K62" s="401"/>
      <c r="L62" s="392"/>
    </row>
    <row r="63" spans="2:12" hidden="1">
      <c r="B63" s="108" t="s">
        <v>146</v>
      </c>
      <c r="C63" s="178">
        <v>1</v>
      </c>
      <c r="D63" s="326">
        <f>D21*K41</f>
        <v>0</v>
      </c>
      <c r="E63" s="392"/>
      <c r="F63" s="89"/>
      <c r="G63" s="392"/>
      <c r="H63" s="392"/>
      <c r="I63" s="401"/>
      <c r="J63" s="401"/>
      <c r="K63" s="401"/>
      <c r="L63" s="392"/>
    </row>
    <row r="64" spans="2:12" hidden="1">
      <c r="B64" s="108" t="s">
        <v>147</v>
      </c>
      <c r="C64" s="178">
        <v>1</v>
      </c>
      <c r="D64" s="326">
        <f>D22*K41</f>
        <v>0</v>
      </c>
      <c r="E64" s="392"/>
      <c r="F64" s="89"/>
      <c r="G64" s="392"/>
      <c r="H64" s="392"/>
      <c r="I64" s="401"/>
      <c r="J64" s="401"/>
      <c r="K64" s="401"/>
      <c r="L64" s="392"/>
    </row>
    <row r="65" spans="2:12" ht="14.45" hidden="1" customHeight="1" thickBot="1">
      <c r="B65" s="108" t="s">
        <v>148</v>
      </c>
      <c r="C65" s="178">
        <v>1</v>
      </c>
      <c r="D65" s="326">
        <f>D23*K41</f>
        <v>0</v>
      </c>
      <c r="E65" s="392"/>
      <c r="F65" s="89"/>
      <c r="G65" s="392"/>
      <c r="H65" s="392"/>
      <c r="I65" s="401"/>
      <c r="J65" s="401"/>
      <c r="K65" s="401"/>
      <c r="L65" s="392"/>
    </row>
    <row r="66" spans="2:12" ht="14.45" hidden="1" customHeight="1" thickBot="1">
      <c r="B66" s="291"/>
      <c r="C66" s="304" t="s">
        <v>116</v>
      </c>
      <c r="D66" s="327">
        <f>SUBTOTAL(109,D62:D65)</f>
        <v>0</v>
      </c>
      <c r="E66" s="392"/>
      <c r="F66" s="392"/>
      <c r="G66" s="392"/>
      <c r="H66" s="164" t="s">
        <v>117</v>
      </c>
      <c r="I66" s="401"/>
      <c r="J66" s="401"/>
      <c r="K66" s="401"/>
      <c r="L66" s="392"/>
    </row>
    <row r="67" spans="2:12" ht="14.45" hidden="1" customHeight="1" thickBot="1">
      <c r="B67" s="392"/>
      <c r="C67" s="397"/>
      <c r="D67" s="397"/>
      <c r="E67" s="392"/>
      <c r="F67" s="392"/>
      <c r="G67" s="392"/>
      <c r="H67" s="328">
        <f>SUM(H50,J50:K50)</f>
        <v>0</v>
      </c>
      <c r="I67" s="401"/>
      <c r="J67" s="401"/>
      <c r="K67" s="401"/>
      <c r="L67" s="392"/>
    </row>
    <row r="68" spans="2:12" hidden="1">
      <c r="B68" s="419" t="s">
        <v>118</v>
      </c>
      <c r="C68" s="449"/>
      <c r="D68" s="449"/>
      <c r="E68" s="449"/>
      <c r="F68" s="449"/>
      <c r="G68" s="306" t="s">
        <v>68</v>
      </c>
      <c r="H68" s="399"/>
      <c r="I68" s="399"/>
      <c r="J68" s="400"/>
      <c r="K68" s="401"/>
      <c r="L68" s="401"/>
    </row>
    <row r="69" spans="2:12" hidden="1">
      <c r="B69" s="307" t="s">
        <v>53</v>
      </c>
      <c r="C69" s="17" t="s">
        <v>119</v>
      </c>
      <c r="D69" s="140" t="s">
        <v>120</v>
      </c>
      <c r="E69" s="141" t="s">
        <v>121</v>
      </c>
      <c r="F69" s="135" t="s">
        <v>122</v>
      </c>
      <c r="G69" s="162" t="s">
        <v>123</v>
      </c>
      <c r="H69" s="398" t="s">
        <v>124</v>
      </c>
      <c r="I69" s="398" t="s">
        <v>125</v>
      </c>
      <c r="J69" s="303" t="s">
        <v>84</v>
      </c>
      <c r="K69" s="401"/>
      <c r="L69" s="392"/>
    </row>
    <row r="70" spans="2:12" hidden="1">
      <c r="B70" s="108"/>
      <c r="C70" s="178">
        <v>0</v>
      </c>
      <c r="D70" s="208">
        <f t="shared" ref="D70:F72" si="9">D28*$K$41</f>
        <v>0</v>
      </c>
      <c r="E70" s="208">
        <f t="shared" si="9"/>
        <v>0</v>
      </c>
      <c r="F70" s="208">
        <f t="shared" si="9"/>
        <v>0</v>
      </c>
      <c r="G70" s="206">
        <f t="shared" ref="G70:H72" si="10">E70/60</f>
        <v>0</v>
      </c>
      <c r="H70" s="206">
        <f t="shared" si="10"/>
        <v>0</v>
      </c>
      <c r="I70" s="206">
        <f>SUM(Table37126[[#This Row],[break fix]:[call center]])</f>
        <v>0</v>
      </c>
      <c r="J70" s="308"/>
      <c r="K70" s="401"/>
      <c r="L70" s="392"/>
    </row>
    <row r="71" spans="2:12" hidden="1">
      <c r="B71" s="108" t="s">
        <v>146</v>
      </c>
      <c r="C71" s="178">
        <v>1</v>
      </c>
      <c r="D71" s="208">
        <f t="shared" si="9"/>
        <v>0</v>
      </c>
      <c r="E71" s="208">
        <f t="shared" si="9"/>
        <v>0</v>
      </c>
      <c r="F71" s="208">
        <f t="shared" si="9"/>
        <v>0</v>
      </c>
      <c r="G71" s="206">
        <f t="shared" si="10"/>
        <v>0</v>
      </c>
      <c r="H71" s="206">
        <f t="shared" si="10"/>
        <v>0</v>
      </c>
      <c r="I71" s="206">
        <f>SUM(Table37126[[#This Row],[break fix]:[call center]])</f>
        <v>0</v>
      </c>
      <c r="J71" s="308"/>
      <c r="K71" s="401"/>
      <c r="L71" s="392"/>
    </row>
    <row r="72" spans="2:12" hidden="1">
      <c r="B72" s="108" t="s">
        <v>147</v>
      </c>
      <c r="C72" s="178">
        <v>1</v>
      </c>
      <c r="D72" s="208">
        <f t="shared" si="9"/>
        <v>0</v>
      </c>
      <c r="E72" s="208">
        <f t="shared" si="9"/>
        <v>0</v>
      </c>
      <c r="F72" s="208">
        <f t="shared" si="9"/>
        <v>0</v>
      </c>
      <c r="G72" s="206">
        <f t="shared" si="10"/>
        <v>0</v>
      </c>
      <c r="H72" s="206">
        <f t="shared" si="10"/>
        <v>0</v>
      </c>
      <c r="I72" s="206">
        <f>SUM(Table37126[[#This Row],[break fix]:[call center]])</f>
        <v>0</v>
      </c>
      <c r="J72" s="308"/>
      <c r="K72" s="401"/>
      <c r="L72" s="392"/>
    </row>
    <row r="73" spans="2:12" hidden="1">
      <c r="B73" s="108" t="s">
        <v>148</v>
      </c>
      <c r="C73" s="178">
        <v>1</v>
      </c>
      <c r="D73" s="208">
        <v>0</v>
      </c>
      <c r="E73" s="209">
        <v>0</v>
      </c>
      <c r="F73" s="208">
        <f>F31*$K$41</f>
        <v>0</v>
      </c>
      <c r="G73" s="206"/>
      <c r="H73" s="206">
        <f>Table37126[[#This Row],[call center]]/60</f>
        <v>0</v>
      </c>
      <c r="I73" s="206">
        <f>SUM(Table37126[[#This Row],[break fix]:[call center]])</f>
        <v>0</v>
      </c>
      <c r="J73" s="308"/>
      <c r="K73" s="401"/>
      <c r="L73" s="392"/>
    </row>
    <row r="74" spans="2:12" hidden="1">
      <c r="B74" s="309"/>
      <c r="C74" s="109" t="s">
        <v>34</v>
      </c>
      <c r="D74" s="210"/>
      <c r="E74" s="211"/>
      <c r="F74" s="212"/>
      <c r="G74" s="206"/>
      <c r="H74" s="206"/>
      <c r="I74" s="206"/>
      <c r="J74" s="308"/>
      <c r="K74" s="401"/>
      <c r="L74" s="392"/>
    </row>
    <row r="75" spans="2:12" hidden="1">
      <c r="B75" s="108"/>
      <c r="C75" s="109"/>
      <c r="D75" s="213">
        <f>SUBTOTAL(109,D70:D74)</f>
        <v>0</v>
      </c>
      <c r="E75" s="213">
        <f>SUBTOTAL(109,E70:E74)</f>
        <v>0</v>
      </c>
      <c r="F75" s="213">
        <f>SUBTOTAL(109,F70:F74)</f>
        <v>0</v>
      </c>
      <c r="G75" s="206">
        <f>SUM(G70:G72)</f>
        <v>0</v>
      </c>
      <c r="H75" s="206">
        <f>SUM(H70:H73)</f>
        <v>0</v>
      </c>
      <c r="I75" s="206">
        <f>SUM(I70:I74)</f>
        <v>0</v>
      </c>
      <c r="J75" s="310"/>
      <c r="K75" s="401"/>
      <c r="L75" s="392"/>
    </row>
    <row r="76" spans="2:12" ht="14.45" hidden="1" customHeight="1" thickBot="1">
      <c r="B76" s="291"/>
      <c r="C76" s="292"/>
      <c r="D76" s="330"/>
      <c r="E76" s="331"/>
      <c r="F76" s="332"/>
      <c r="G76" s="333"/>
      <c r="H76" s="333"/>
      <c r="I76" s="333"/>
      <c r="J76" s="253"/>
      <c r="K76" s="401"/>
      <c r="L76" s="392"/>
    </row>
    <row r="77" spans="2:12" ht="14.45" hidden="1" customHeight="1" thickBot="1">
      <c r="B77" s="32" t="s">
        <v>137</v>
      </c>
      <c r="C77" s="326">
        <f>SUM(D75:F75)</f>
        <v>0</v>
      </c>
      <c r="D77" s="185"/>
      <c r="E77" s="329" t="s">
        <v>138</v>
      </c>
      <c r="F77" s="255">
        <f>SUM(E75:F75)/60</f>
        <v>0</v>
      </c>
      <c r="G77" s="184"/>
      <c r="H77" s="184"/>
      <c r="I77" s="184"/>
      <c r="J77" s="401"/>
      <c r="K77" s="401"/>
      <c r="L77" s="392"/>
    </row>
    <row r="78" spans="2:12" hidden="1">
      <c r="B78" s="32" t="s">
        <v>144</v>
      </c>
      <c r="C78" s="254"/>
      <c r="D78" s="397"/>
      <c r="E78" s="392"/>
      <c r="F78" s="392"/>
      <c r="G78" s="392"/>
      <c r="H78" s="392"/>
      <c r="I78" s="401"/>
      <c r="J78" s="401"/>
      <c r="K78" s="401"/>
      <c r="L78" s="392"/>
    </row>
    <row r="79" spans="2:12" ht="14.45" hidden="1" customHeight="1" thickBot="1">
      <c r="B79" s="251" t="s">
        <v>116</v>
      </c>
      <c r="C79" s="255">
        <f>SUM(C77:C78)</f>
        <v>0</v>
      </c>
      <c r="D79" s="397"/>
      <c r="E79" s="392"/>
      <c r="F79" s="392"/>
      <c r="G79" s="392"/>
      <c r="H79" s="392"/>
      <c r="I79" s="401"/>
      <c r="J79" s="401"/>
      <c r="K79" s="401"/>
      <c r="L79" s="392"/>
    </row>
    <row r="80" spans="2:12">
      <c r="B80" s="392"/>
      <c r="C80" s="207"/>
      <c r="D80" s="397"/>
      <c r="E80" s="392"/>
      <c r="F80" s="392"/>
      <c r="G80" s="392"/>
      <c r="H80" s="392"/>
      <c r="I80" s="401"/>
      <c r="J80" s="401"/>
      <c r="K80" s="401"/>
      <c r="L80" s="392"/>
    </row>
  </sheetData>
  <mergeCells count="10">
    <mergeCell ref="B68:F68"/>
    <mergeCell ref="B18:E18"/>
    <mergeCell ref="B60:D60"/>
    <mergeCell ref="D9:G9"/>
    <mergeCell ref="H9:K9"/>
    <mergeCell ref="M2:Q2"/>
    <mergeCell ref="B41:I42"/>
    <mergeCell ref="B26:F26"/>
    <mergeCell ref="D51:G51"/>
    <mergeCell ref="H51:K51"/>
  </mergeCells>
  <pageMargins left="0.7" right="0.7" top="0.75" bottom="0.75" header="0.3" footer="0.3"/>
  <pageSetup orientation="portrait"/>
  <headerFooter>
    <oddFooter>&amp;C_x000D_&amp;1#&amp;"Calibri"&amp;10&amp;K008000 GENERAL</oddFooter>
  </headerFooter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8"/>
  </sheetPr>
  <dimension ref="B2:K58"/>
  <sheetViews>
    <sheetView showGridLines="0" workbookViewId="0">
      <selection activeCell="I52" sqref="I52"/>
    </sheetView>
  </sheetViews>
  <sheetFormatPr defaultRowHeight="14.1"/>
  <cols>
    <col min="1" max="1" width="3.875" customWidth="1"/>
    <col min="2" max="2" width="32.375" customWidth="1"/>
    <col min="3" max="3" width="31.5" customWidth="1"/>
    <col min="4" max="4" width="18.125" style="163" customWidth="1"/>
    <col min="5" max="5" width="12.125" customWidth="1"/>
    <col min="6" max="6" width="12.375" style="85" bestFit="1" customWidth="1"/>
    <col min="7" max="7" width="15.625" style="85" customWidth="1"/>
    <col min="8" max="8" width="14.375" customWidth="1"/>
    <col min="9" max="9" width="13.875" customWidth="1"/>
  </cols>
  <sheetData>
    <row r="2" spans="2:11" ht="18" customHeight="1">
      <c r="B2" s="393" t="s">
        <v>150</v>
      </c>
      <c r="C2" s="392"/>
      <c r="D2" s="403"/>
      <c r="E2" s="392"/>
      <c r="F2" s="401"/>
      <c r="G2" s="401"/>
      <c r="H2" s="392"/>
      <c r="I2" s="392"/>
      <c r="J2" s="392"/>
      <c r="K2" s="392"/>
    </row>
    <row r="3" spans="2:11">
      <c r="B3" s="453" t="s">
        <v>151</v>
      </c>
      <c r="C3" s="433"/>
      <c r="D3" s="454"/>
      <c r="E3" s="433"/>
      <c r="F3" s="450"/>
      <c r="G3" s="450"/>
      <c r="H3" s="433"/>
      <c r="I3" s="433"/>
      <c r="J3" s="433"/>
      <c r="K3" s="392"/>
    </row>
    <row r="4" spans="2:11">
      <c r="B4" s="402" t="s">
        <v>152</v>
      </c>
      <c r="C4" s="422"/>
      <c r="D4" s="454"/>
      <c r="E4" s="404" t="s">
        <v>102</v>
      </c>
      <c r="F4" s="261" t="s">
        <v>48</v>
      </c>
      <c r="G4" s="261" t="s">
        <v>49</v>
      </c>
      <c r="H4" s="261" t="s">
        <v>50</v>
      </c>
      <c r="I4" s="261" t="s">
        <v>51</v>
      </c>
      <c r="J4" s="261" t="s">
        <v>31</v>
      </c>
      <c r="K4" s="392"/>
    </row>
    <row r="5" spans="2:11">
      <c r="B5" s="241" t="s">
        <v>153</v>
      </c>
      <c r="C5" s="392"/>
      <c r="D5" s="403"/>
      <c r="E5" s="16">
        <v>1</v>
      </c>
      <c r="F5" s="401">
        <f>'CSOW Pricing &amp; WWT Cost (2)'!D24</f>
        <v>0</v>
      </c>
      <c r="G5" s="401">
        <f>F5*E5</f>
        <v>0</v>
      </c>
      <c r="H5" s="401">
        <f>'CSOW Pricing &amp; WWT Cost (2)'!D8</f>
        <v>0</v>
      </c>
      <c r="I5" s="401">
        <f>H5-G5</f>
        <v>0</v>
      </c>
      <c r="J5" s="75" t="e">
        <f>I5/H5</f>
        <v>#DIV/0!</v>
      </c>
      <c r="K5" s="392"/>
    </row>
    <row r="6" spans="2:11">
      <c r="B6" s="392" t="s">
        <v>154</v>
      </c>
      <c r="C6" s="392"/>
      <c r="D6" s="403"/>
      <c r="E6" s="16">
        <v>1</v>
      </c>
      <c r="F6" s="401">
        <v>0</v>
      </c>
      <c r="G6" s="401">
        <f>F6*E6</f>
        <v>0</v>
      </c>
      <c r="H6" s="401">
        <f>'CSOW Pricing &amp; WWT Cost (2)'!F8</f>
        <v>0</v>
      </c>
      <c r="I6" s="401">
        <f>H6-G6</f>
        <v>0</v>
      </c>
      <c r="J6" s="75" t="e">
        <f>I6/H6</f>
        <v>#DIV/0!</v>
      </c>
      <c r="K6" s="392"/>
    </row>
    <row r="7" spans="2:11" ht="14.45" customHeight="1" thickBot="1">
      <c r="B7" s="263" t="s">
        <v>155</v>
      </c>
      <c r="C7" s="263"/>
      <c r="D7" s="263"/>
      <c r="E7" s="275">
        <v>1</v>
      </c>
      <c r="F7" s="269">
        <f>'CSOW Pricing &amp; WWT Cost (2)'!E8</f>
        <v>0</v>
      </c>
      <c r="G7" s="269">
        <f>F7*E7</f>
        <v>0</v>
      </c>
      <c r="H7" s="269">
        <f>'CSOW Pricing &amp; WWT Cost (2)'!E8</f>
        <v>0</v>
      </c>
      <c r="I7" s="269">
        <f>H7-G7</f>
        <v>0</v>
      </c>
      <c r="J7" s="270" t="e">
        <f>I7/H7</f>
        <v>#DIV/0!</v>
      </c>
      <c r="K7" s="392"/>
    </row>
    <row r="8" spans="2:11" ht="14.45" customHeight="1" thickTop="1">
      <c r="B8" s="423" t="s">
        <v>156</v>
      </c>
      <c r="C8" s="433"/>
      <c r="D8" s="454"/>
      <c r="E8" s="433"/>
      <c r="F8" s="450"/>
      <c r="G8" s="278">
        <f>SUM(G5:G7)</f>
        <v>0</v>
      </c>
      <c r="H8" s="278">
        <f>SUM(H5:H7)</f>
        <v>0</v>
      </c>
      <c r="I8" s="278">
        <f>SUM(I5:I7)</f>
        <v>0</v>
      </c>
      <c r="J8" s="279" t="e">
        <f>I8/H8</f>
        <v>#DIV/0!</v>
      </c>
      <c r="K8" s="392"/>
    </row>
    <row r="9" spans="2:11">
      <c r="B9" s="392"/>
      <c r="C9" s="392"/>
      <c r="D9" s="403"/>
      <c r="E9" s="16"/>
      <c r="F9" s="401"/>
      <c r="G9" s="401"/>
      <c r="H9" s="392"/>
      <c r="I9" s="392"/>
      <c r="J9" s="392"/>
      <c r="K9" s="392"/>
    </row>
    <row r="10" spans="2:11">
      <c r="B10" s="453" t="s">
        <v>157</v>
      </c>
      <c r="C10" s="433"/>
      <c r="D10" s="454"/>
      <c r="E10" s="433"/>
      <c r="F10" s="450"/>
      <c r="G10" s="450"/>
      <c r="H10" s="433"/>
      <c r="I10" s="433"/>
      <c r="J10" s="433"/>
      <c r="K10" s="392"/>
    </row>
    <row r="11" spans="2:11">
      <c r="B11" s="402" t="s">
        <v>158</v>
      </c>
      <c r="C11" s="404" t="s">
        <v>159</v>
      </c>
      <c r="D11" s="404" t="s">
        <v>160</v>
      </c>
      <c r="E11" s="404" t="s">
        <v>161</v>
      </c>
      <c r="F11" s="261" t="s">
        <v>48</v>
      </c>
      <c r="G11" s="261" t="s">
        <v>49</v>
      </c>
      <c r="H11" s="261" t="s">
        <v>50</v>
      </c>
      <c r="I11" s="261" t="s">
        <v>51</v>
      </c>
      <c r="J11" s="261" t="s">
        <v>31</v>
      </c>
      <c r="K11" s="392"/>
    </row>
    <row r="12" spans="2:11" ht="14.45" customHeight="1" thickBot="1">
      <c r="B12" s="263" t="str">
        <f>'Estimator Input'!C11</f>
        <v>&lt;&lt;Select Partner&gt;&gt;</v>
      </c>
      <c r="C12" s="263" t="s">
        <v>32</v>
      </c>
      <c r="D12" s="263" t="s">
        <v>162</v>
      </c>
      <c r="E12" s="272">
        <v>1</v>
      </c>
      <c r="F12" s="273">
        <f>'CSOW Pricing &amp; WWT Cost (2)'!D34</f>
        <v>0</v>
      </c>
      <c r="G12" s="274">
        <f>E12*F12</f>
        <v>0</v>
      </c>
      <c r="H12" s="269">
        <f>'CSOW Pricing &amp; WWT Cost (2)'!H8</f>
        <v>0</v>
      </c>
      <c r="I12" s="269">
        <f>H12-G12</f>
        <v>0</v>
      </c>
      <c r="J12" s="270" t="e">
        <f>I12/H12</f>
        <v>#DIV/0!</v>
      </c>
      <c r="K12" s="392"/>
    </row>
    <row r="13" spans="2:11" ht="14.45" customHeight="1" thickTop="1">
      <c r="B13" s="423" t="s">
        <v>156</v>
      </c>
      <c r="C13" s="433"/>
      <c r="D13" s="454"/>
      <c r="E13" s="433"/>
      <c r="F13" s="450"/>
      <c r="G13" s="278">
        <f>SUM(G12)</f>
        <v>0</v>
      </c>
      <c r="H13" s="278">
        <f>SUM(H12)</f>
        <v>0</v>
      </c>
      <c r="I13" s="278">
        <f>SUM(I12)</f>
        <v>0</v>
      </c>
      <c r="J13" s="279" t="e">
        <f>I13/H13</f>
        <v>#DIV/0!</v>
      </c>
      <c r="K13" s="278"/>
    </row>
    <row r="14" spans="2:11">
      <c r="B14" s="404"/>
      <c r="C14" s="165"/>
      <c r="D14" s="403"/>
      <c r="E14" s="16"/>
      <c r="F14" s="166"/>
      <c r="G14" s="401"/>
      <c r="H14" s="392"/>
      <c r="I14" s="392"/>
      <c r="J14" s="392"/>
      <c r="K14" s="392"/>
    </row>
    <row r="15" spans="2:11">
      <c r="B15" s="453" t="s">
        <v>163</v>
      </c>
      <c r="C15" s="433"/>
      <c r="D15" s="454"/>
      <c r="E15" s="433"/>
      <c r="F15" s="450"/>
      <c r="G15" s="450"/>
      <c r="H15" s="433"/>
      <c r="I15" s="433"/>
      <c r="J15" s="433"/>
      <c r="K15" s="392"/>
    </row>
    <row r="16" spans="2:11">
      <c r="B16" s="235" t="s">
        <v>164</v>
      </c>
      <c r="C16" s="233" t="s">
        <v>165</v>
      </c>
      <c r="D16" s="234"/>
      <c r="E16" s="233" t="s">
        <v>166</v>
      </c>
      <c r="F16" s="260" t="s">
        <v>167</v>
      </c>
      <c r="G16" s="261" t="s">
        <v>49</v>
      </c>
      <c r="H16" s="261" t="s">
        <v>50</v>
      </c>
      <c r="I16" s="261" t="s">
        <v>51</v>
      </c>
      <c r="J16" s="261" t="s">
        <v>31</v>
      </c>
      <c r="K16" s="392"/>
    </row>
    <row r="17" spans="2:11" ht="14.45" customHeight="1" thickBot="1">
      <c r="B17" s="263" t="str">
        <f>'Estimator Input'!C10</f>
        <v>&lt;&lt;Select Role&gt;&gt;</v>
      </c>
      <c r="C17" s="264">
        <f>IFERROR(VLOOKUP(B17,'PMO Resources'!C3:E14,2,FALSE),"")</f>
        <v>0</v>
      </c>
      <c r="D17" s="265"/>
      <c r="E17" s="266" t="e">
        <f>ROUND('PMO Resources'!E19/F17,0)</f>
        <v>#DIV/0!</v>
      </c>
      <c r="F17" s="267">
        <f>IFERROR(VLOOKUP(B17,'PMO Resources'!C3:E14,3,FALSE),"")</f>
        <v>0</v>
      </c>
      <c r="G17" s="268" t="e">
        <f>E17*F17</f>
        <v>#DIV/0!</v>
      </c>
      <c r="H17" s="269">
        <f>'CSOW Pricing &amp; WWT Cost (2)'!I8</f>
        <v>0</v>
      </c>
      <c r="I17" s="269" t="e">
        <f>H17-G17</f>
        <v>#DIV/0!</v>
      </c>
      <c r="J17" s="270" t="e">
        <f>I17/H17</f>
        <v>#DIV/0!</v>
      </c>
      <c r="K17" s="392"/>
    </row>
    <row r="18" spans="2:11" ht="14.45" customHeight="1" thickTop="1">
      <c r="B18" s="423" t="s">
        <v>156</v>
      </c>
      <c r="C18" s="433"/>
      <c r="D18" s="454"/>
      <c r="E18" s="433"/>
      <c r="F18" s="450"/>
      <c r="G18" s="278" t="e">
        <f>SUM(G17:G17)</f>
        <v>#DIV/0!</v>
      </c>
      <c r="H18" s="278">
        <f>SUM(H17:H17)</f>
        <v>0</v>
      </c>
      <c r="I18" s="278" t="e">
        <f>SUM(I17:I17)</f>
        <v>#DIV/0!</v>
      </c>
      <c r="J18" s="279" t="e">
        <f>I18/H18</f>
        <v>#DIV/0!</v>
      </c>
      <c r="K18" s="392"/>
    </row>
    <row r="19" spans="2:11">
      <c r="B19" s="404"/>
      <c r="C19" s="165"/>
      <c r="D19" s="403"/>
      <c r="E19" s="16"/>
      <c r="F19" s="166"/>
      <c r="G19" s="401"/>
      <c r="H19" s="392"/>
      <c r="I19" s="392"/>
      <c r="J19" s="392"/>
      <c r="K19" s="392"/>
    </row>
    <row r="20" spans="2:11">
      <c r="B20" s="453" t="s">
        <v>168</v>
      </c>
      <c r="C20" s="433"/>
      <c r="D20" s="454"/>
      <c r="E20" s="433"/>
      <c r="F20" s="450"/>
      <c r="G20" s="450"/>
      <c r="H20" s="433"/>
      <c r="I20" s="433"/>
      <c r="J20" s="433"/>
      <c r="K20" s="392"/>
    </row>
    <row r="21" spans="2:11">
      <c r="B21" s="402" t="s">
        <v>158</v>
      </c>
      <c r="C21" s="404" t="s">
        <v>159</v>
      </c>
      <c r="D21" s="404" t="s">
        <v>160</v>
      </c>
      <c r="E21" s="404" t="s">
        <v>161</v>
      </c>
      <c r="F21" s="261" t="s">
        <v>48</v>
      </c>
      <c r="G21" s="261" t="s">
        <v>49</v>
      </c>
      <c r="H21" s="261" t="s">
        <v>50</v>
      </c>
      <c r="I21" s="261" t="s">
        <v>51</v>
      </c>
      <c r="J21" s="261" t="s">
        <v>31</v>
      </c>
      <c r="K21" s="392"/>
    </row>
    <row r="22" spans="2:11">
      <c r="B22" s="392" t="str">
        <f>'Estimator Input'!C12</f>
        <v>&lt;&lt;Select Partner&gt;&gt;</v>
      </c>
      <c r="C22" s="392" t="s">
        <v>169</v>
      </c>
      <c r="D22" s="392" t="s">
        <v>61</v>
      </c>
      <c r="E22" s="167">
        <v>1</v>
      </c>
      <c r="F22" s="249">
        <f>'CSOW Pricing &amp; WWT Cost (2)'!E34</f>
        <v>0</v>
      </c>
      <c r="G22" s="262">
        <f>E22*F22</f>
        <v>0</v>
      </c>
      <c r="H22" s="401">
        <f>'CSOW Pricing &amp; WWT Cost (2)'!J8</f>
        <v>0</v>
      </c>
      <c r="I22" s="401">
        <f>H22-G22</f>
        <v>0</v>
      </c>
      <c r="J22" s="75" t="e">
        <f>I22/H22</f>
        <v>#DIV/0!</v>
      </c>
      <c r="K22" s="392"/>
    </row>
    <row r="23" spans="2:11">
      <c r="B23" s="392" t="str">
        <f>'Estimator Input'!C13</f>
        <v>&lt;&lt;Select Partner&gt;&gt;</v>
      </c>
      <c r="C23" s="392" t="s">
        <v>169</v>
      </c>
      <c r="D23" s="392" t="s">
        <v>62</v>
      </c>
      <c r="E23" s="167">
        <v>1</v>
      </c>
      <c r="F23" s="249">
        <f>'CSOW Pricing &amp; WWT Cost (2)'!E24</f>
        <v>0</v>
      </c>
      <c r="G23" s="262">
        <f>E23*F23</f>
        <v>0</v>
      </c>
      <c r="H23" s="401">
        <f>'CSOW Pricing &amp; WWT Cost (2)'!K8</f>
        <v>0</v>
      </c>
      <c r="I23" s="401">
        <f>H23-G23</f>
        <v>0</v>
      </c>
      <c r="J23" s="75" t="e">
        <f>I23/H23</f>
        <v>#DIV/0!</v>
      </c>
      <c r="K23" s="392"/>
    </row>
    <row r="24" spans="2:11" ht="14.45" customHeight="1" thickBot="1">
      <c r="B24" s="271"/>
      <c r="C24" s="263" t="s">
        <v>170</v>
      </c>
      <c r="D24" s="263" t="s">
        <v>43</v>
      </c>
      <c r="E24" s="272">
        <v>1</v>
      </c>
      <c r="F24" s="273">
        <f>'CSOW Pricing &amp; WWT Cost (2)'!C37</f>
        <v>0</v>
      </c>
      <c r="G24" s="274">
        <f>E24*F24</f>
        <v>0</v>
      </c>
      <c r="H24" s="269">
        <f>'CSOW Pricing &amp; WWT Cost (2)'!C37</f>
        <v>0</v>
      </c>
      <c r="I24" s="269">
        <f>H24-G24</f>
        <v>0</v>
      </c>
      <c r="J24" s="270" t="e">
        <f>I24/H24</f>
        <v>#DIV/0!</v>
      </c>
      <c r="K24" s="392"/>
    </row>
    <row r="25" spans="2:11" ht="14.45" customHeight="1" thickTop="1">
      <c r="B25" s="423" t="s">
        <v>156</v>
      </c>
      <c r="C25" s="433"/>
      <c r="D25" s="454"/>
      <c r="E25" s="433"/>
      <c r="F25" s="450"/>
      <c r="G25" s="278">
        <f>SUM(G22:G24)</f>
        <v>0</v>
      </c>
      <c r="H25" s="278">
        <f>SUM(H22:H24)</f>
        <v>0</v>
      </c>
      <c r="I25" s="278">
        <f>SUM(I22:I24)</f>
        <v>0</v>
      </c>
      <c r="J25" s="279" t="e">
        <f>I25/H25</f>
        <v>#DIV/0!</v>
      </c>
      <c r="K25" s="278"/>
    </row>
    <row r="26" spans="2:11">
      <c r="B26" s="404"/>
      <c r="C26" s="165"/>
      <c r="D26" s="403"/>
      <c r="E26" s="16"/>
      <c r="F26" s="166"/>
      <c r="G26" s="401"/>
      <c r="H26" s="392"/>
      <c r="I26" s="392"/>
      <c r="J26" s="392"/>
      <c r="K26" s="392"/>
    </row>
    <row r="27" spans="2:11" ht="15.6" customHeight="1">
      <c r="B27" s="406" t="s">
        <v>171</v>
      </c>
      <c r="C27" s="455"/>
      <c r="D27" s="454"/>
      <c r="E27" s="406"/>
      <c r="F27" s="338"/>
      <c r="G27" s="338" t="e">
        <f>SUM(G18,G13,G25,G8)</f>
        <v>#DIV/0!</v>
      </c>
      <c r="H27" s="338">
        <f>SUM(H18,H13,H25,H8)</f>
        <v>0</v>
      </c>
      <c r="I27" s="338" t="e">
        <f>SUM(I18,I13,I25,I8)</f>
        <v>#DIV/0!</v>
      </c>
      <c r="J27" s="339" t="e">
        <f>I27/H27</f>
        <v>#DIV/0!</v>
      </c>
      <c r="K27" s="392"/>
    </row>
    <row r="30" spans="2:11" ht="18" customHeight="1">
      <c r="B30" s="393" t="s">
        <v>172</v>
      </c>
      <c r="C30" s="392"/>
      <c r="D30" s="403"/>
      <c r="E30" s="392"/>
      <c r="F30" s="401"/>
      <c r="G30" s="401"/>
      <c r="H30" s="392"/>
      <c r="I30" s="392"/>
      <c r="J30" s="392"/>
      <c r="K30" s="392"/>
    </row>
    <row r="31" spans="2:11">
      <c r="B31" s="456" t="s">
        <v>151</v>
      </c>
      <c r="C31" s="433"/>
      <c r="D31" s="454"/>
      <c r="E31" s="433"/>
      <c r="F31" s="450"/>
      <c r="G31" s="450"/>
      <c r="H31" s="433"/>
      <c r="I31" s="433"/>
      <c r="J31" s="433"/>
      <c r="K31" s="392"/>
    </row>
    <row r="32" spans="2:11">
      <c r="B32" s="402" t="s">
        <v>152</v>
      </c>
      <c r="C32" s="422"/>
      <c r="D32" s="454"/>
      <c r="E32" s="404" t="s">
        <v>102</v>
      </c>
      <c r="F32" s="261" t="s">
        <v>48</v>
      </c>
      <c r="G32" s="261" t="s">
        <v>49</v>
      </c>
      <c r="H32" s="261" t="s">
        <v>50</v>
      </c>
      <c r="I32" s="261" t="s">
        <v>51</v>
      </c>
      <c r="J32" s="261" t="s">
        <v>31</v>
      </c>
      <c r="K32" s="392"/>
    </row>
    <row r="33" spans="2:11">
      <c r="B33" s="241" t="s">
        <v>153</v>
      </c>
      <c r="C33" s="392"/>
      <c r="D33" s="403"/>
      <c r="E33" s="16">
        <v>1</v>
      </c>
      <c r="F33" s="401">
        <f>F5*'Estimator Input'!$C$9</f>
        <v>0</v>
      </c>
      <c r="G33" s="401">
        <f>G5*'Estimator Input'!$C$9</f>
        <v>0</v>
      </c>
      <c r="H33" s="401">
        <f>H5*'Estimator Input'!$C$9</f>
        <v>0</v>
      </c>
      <c r="I33" s="401">
        <f>I5*'Estimator Input'!$C$9</f>
        <v>0</v>
      </c>
      <c r="J33" s="75" t="e">
        <f>I33/H33</f>
        <v>#DIV/0!</v>
      </c>
      <c r="K33" s="392"/>
    </row>
    <row r="34" spans="2:11">
      <c r="B34" s="392" t="s">
        <v>154</v>
      </c>
      <c r="C34" s="392"/>
      <c r="D34" s="403"/>
      <c r="E34" s="16">
        <v>1</v>
      </c>
      <c r="F34" s="401">
        <f>F6*'Estimator Input'!$C$9</f>
        <v>0</v>
      </c>
      <c r="G34" s="401">
        <f>G6*'Estimator Input'!$C$9</f>
        <v>0</v>
      </c>
      <c r="H34" s="401">
        <f>H6*'Estimator Input'!$C$9</f>
        <v>0</v>
      </c>
      <c r="I34" s="401">
        <f>I6*'Estimator Input'!$C$9</f>
        <v>0</v>
      </c>
      <c r="J34" s="75" t="e">
        <f>I34/H34</f>
        <v>#DIV/0!</v>
      </c>
      <c r="K34" s="392"/>
    </row>
    <row r="35" spans="2:11" ht="14.45" customHeight="1" thickBot="1">
      <c r="B35" s="263" t="s">
        <v>155</v>
      </c>
      <c r="C35" s="263"/>
      <c r="D35" s="263"/>
      <c r="E35" s="275">
        <v>1</v>
      </c>
      <c r="F35" s="269">
        <f>F7*'Estimator Input'!$C$9</f>
        <v>0</v>
      </c>
      <c r="G35" s="269">
        <f>G7*'Estimator Input'!$C$9</f>
        <v>0</v>
      </c>
      <c r="H35" s="269">
        <f>H7*'Estimator Input'!$C$9</f>
        <v>0</v>
      </c>
      <c r="I35" s="269">
        <f>I7*'Estimator Input'!$C$9</f>
        <v>0</v>
      </c>
      <c r="J35" s="270" t="e">
        <f>I35/H35</f>
        <v>#DIV/0!</v>
      </c>
      <c r="K35" s="392"/>
    </row>
    <row r="36" spans="2:11" ht="14.45" customHeight="1" thickTop="1">
      <c r="B36" s="423" t="s">
        <v>156</v>
      </c>
      <c r="C36" s="433"/>
      <c r="D36" s="454"/>
      <c r="E36" s="433"/>
      <c r="F36" s="450"/>
      <c r="G36" s="278">
        <f>G8*'Estimator Input'!$C$9</f>
        <v>0</v>
      </c>
      <c r="H36" s="278">
        <f>H8*'Estimator Input'!$C$9</f>
        <v>0</v>
      </c>
      <c r="I36" s="278">
        <f>I8*'Estimator Input'!$C$9</f>
        <v>0</v>
      </c>
      <c r="J36" s="279" t="e">
        <f>I36/H36</f>
        <v>#DIV/0!</v>
      </c>
      <c r="K36" s="392"/>
    </row>
    <row r="37" spans="2:11">
      <c r="B37" s="392"/>
      <c r="C37" s="392"/>
      <c r="D37" s="403"/>
      <c r="E37" s="16"/>
      <c r="F37" s="401"/>
      <c r="G37" s="401"/>
      <c r="H37" s="392"/>
      <c r="I37" s="392"/>
      <c r="J37" s="392"/>
      <c r="K37" s="392"/>
    </row>
    <row r="38" spans="2:11">
      <c r="B38" s="456" t="s">
        <v>157</v>
      </c>
      <c r="C38" s="433"/>
      <c r="D38" s="454"/>
      <c r="E38" s="433"/>
      <c r="F38" s="450"/>
      <c r="G38" s="450"/>
      <c r="H38" s="433"/>
      <c r="I38" s="433"/>
      <c r="J38" s="433"/>
      <c r="K38" s="392"/>
    </row>
    <row r="39" spans="2:11">
      <c r="B39" s="402" t="s">
        <v>158</v>
      </c>
      <c r="C39" s="404" t="s">
        <v>159</v>
      </c>
      <c r="D39" s="404" t="s">
        <v>160</v>
      </c>
      <c r="E39" s="404" t="s">
        <v>161</v>
      </c>
      <c r="F39" s="261" t="s">
        <v>48</v>
      </c>
      <c r="G39" s="261" t="s">
        <v>49</v>
      </c>
      <c r="H39" s="261" t="s">
        <v>50</v>
      </c>
      <c r="I39" s="261" t="s">
        <v>51</v>
      </c>
      <c r="J39" s="261" t="s">
        <v>31</v>
      </c>
      <c r="K39" s="392"/>
    </row>
    <row r="40" spans="2:11" ht="14.45" customHeight="1" thickBot="1">
      <c r="B40" s="263">
        <f>'Estimator Input'!C39</f>
        <v>0</v>
      </c>
      <c r="C40" s="263" t="s">
        <v>32</v>
      </c>
      <c r="D40" s="263" t="s">
        <v>162</v>
      </c>
      <c r="E40" s="272">
        <v>1</v>
      </c>
      <c r="F40" s="273">
        <f>F12*'Estimator Input'!$C$9</f>
        <v>0</v>
      </c>
      <c r="G40" s="273">
        <f>G12*'Estimator Input'!$C$9</f>
        <v>0</v>
      </c>
      <c r="H40" s="273">
        <f>H12*'Estimator Input'!$C$9</f>
        <v>0</v>
      </c>
      <c r="I40" s="273">
        <f>I12*'Estimator Input'!$C$9</f>
        <v>0</v>
      </c>
      <c r="J40" s="270" t="e">
        <f>I40/H40</f>
        <v>#DIV/0!</v>
      </c>
      <c r="K40" s="392"/>
    </row>
    <row r="41" spans="2:11" ht="14.45" customHeight="1" thickTop="1">
      <c r="B41" s="423" t="s">
        <v>156</v>
      </c>
      <c r="C41" s="433"/>
      <c r="D41" s="454"/>
      <c r="E41" s="433"/>
      <c r="F41" s="450"/>
      <c r="G41" s="278">
        <f>G13*'Estimator Input'!$C$9</f>
        <v>0</v>
      </c>
      <c r="H41" s="278">
        <f>H13*'Estimator Input'!$C$9</f>
        <v>0</v>
      </c>
      <c r="I41" s="278">
        <f>I13*'Estimator Input'!$C$9</f>
        <v>0</v>
      </c>
      <c r="J41" s="279" t="e">
        <f>I41/H41</f>
        <v>#DIV/0!</v>
      </c>
      <c r="K41" s="278"/>
    </row>
    <row r="42" spans="2:11">
      <c r="B42" s="404"/>
      <c r="C42" s="165"/>
      <c r="D42" s="403"/>
      <c r="E42" s="16"/>
      <c r="F42" s="166"/>
      <c r="G42" s="401"/>
      <c r="H42" s="392"/>
      <c r="I42" s="392"/>
      <c r="J42" s="392"/>
      <c r="K42" s="392"/>
    </row>
    <row r="43" spans="2:11">
      <c r="B43" s="456" t="s">
        <v>163</v>
      </c>
      <c r="C43" s="433"/>
      <c r="D43" s="454"/>
      <c r="E43" s="433"/>
      <c r="F43" s="450"/>
      <c r="G43" s="450"/>
      <c r="H43" s="433"/>
      <c r="I43" s="433"/>
      <c r="J43" s="433"/>
      <c r="K43" s="392"/>
    </row>
    <row r="44" spans="2:11">
      <c r="B44" s="235" t="s">
        <v>164</v>
      </c>
      <c r="C44" s="233" t="s">
        <v>165</v>
      </c>
      <c r="D44" s="234"/>
      <c r="E44" s="233" t="s">
        <v>166</v>
      </c>
      <c r="F44" s="260" t="s">
        <v>173</v>
      </c>
      <c r="G44" s="261" t="s">
        <v>49</v>
      </c>
      <c r="H44" s="261" t="s">
        <v>50</v>
      </c>
      <c r="I44" s="261" t="s">
        <v>51</v>
      </c>
      <c r="J44" s="261" t="s">
        <v>31</v>
      </c>
      <c r="K44" s="392"/>
    </row>
    <row r="45" spans="2:11" ht="14.45" customHeight="1" thickBot="1">
      <c r="B45" s="263">
        <f>'Estimator Input'!C37</f>
        <v>0</v>
      </c>
      <c r="C45" s="264" t="str">
        <f>IFERROR(VLOOKUP(B45,'PMO Resources'!C31:E41,2,FALSE),"")</f>
        <v/>
      </c>
      <c r="D45" s="265"/>
      <c r="E45" s="266" t="e">
        <f>E17</f>
        <v>#DIV/0!</v>
      </c>
      <c r="F45" s="267">
        <f>F17*'Estimator Input'!$C$9</f>
        <v>0</v>
      </c>
      <c r="G45" s="267" t="e">
        <f>G17*'Estimator Input'!$C$9</f>
        <v>#DIV/0!</v>
      </c>
      <c r="H45" s="267">
        <f>H17*'Estimator Input'!$C$9</f>
        <v>0</v>
      </c>
      <c r="I45" s="267" t="e">
        <f>I17*'Estimator Input'!$C$9</f>
        <v>#DIV/0!</v>
      </c>
      <c r="J45" s="270" t="e">
        <f>I45/H45</f>
        <v>#DIV/0!</v>
      </c>
      <c r="K45" s="392"/>
    </row>
    <row r="46" spans="2:11" ht="14.45" customHeight="1" thickTop="1">
      <c r="B46" s="423" t="s">
        <v>156</v>
      </c>
      <c r="C46" s="433"/>
      <c r="D46" s="454"/>
      <c r="E46" s="433"/>
      <c r="F46" s="450"/>
      <c r="G46" s="278" t="e">
        <f>G18*'Estimator Input'!$C$9</f>
        <v>#DIV/0!</v>
      </c>
      <c r="H46" s="278">
        <f>H18*'Estimator Input'!$C$9</f>
        <v>0</v>
      </c>
      <c r="I46" s="278" t="e">
        <f>I18*'Estimator Input'!$C$9</f>
        <v>#DIV/0!</v>
      </c>
      <c r="J46" s="279" t="e">
        <f>I46/H46</f>
        <v>#DIV/0!</v>
      </c>
      <c r="K46" s="392"/>
    </row>
    <row r="47" spans="2:11">
      <c r="B47" s="404"/>
      <c r="C47" s="165"/>
      <c r="D47" s="403"/>
      <c r="E47" s="16"/>
      <c r="F47" s="166"/>
      <c r="G47" s="401"/>
      <c r="H47" s="392"/>
      <c r="I47" s="392"/>
      <c r="J47" s="392"/>
      <c r="K47" s="392"/>
    </row>
    <row r="48" spans="2:11">
      <c r="B48" s="456" t="s">
        <v>168</v>
      </c>
      <c r="C48" s="433"/>
      <c r="D48" s="454"/>
      <c r="E48" s="433"/>
      <c r="F48" s="450"/>
      <c r="G48" s="450"/>
      <c r="H48" s="433"/>
      <c r="I48" s="433"/>
      <c r="J48" s="433"/>
      <c r="K48" s="392"/>
    </row>
    <row r="49" spans="2:11">
      <c r="B49" s="402" t="s">
        <v>158</v>
      </c>
      <c r="C49" s="404" t="s">
        <v>159</v>
      </c>
      <c r="D49" s="404" t="s">
        <v>160</v>
      </c>
      <c r="E49" s="404" t="s">
        <v>161</v>
      </c>
      <c r="F49" s="261" t="s">
        <v>48</v>
      </c>
      <c r="G49" s="261" t="s">
        <v>49</v>
      </c>
      <c r="H49" s="261" t="s">
        <v>50</v>
      </c>
      <c r="I49" s="261" t="s">
        <v>51</v>
      </c>
      <c r="J49" s="261" t="s">
        <v>31</v>
      </c>
      <c r="K49" s="392"/>
    </row>
    <row r="50" spans="2:11">
      <c r="B50" s="392">
        <f>'Estimator Input'!C40</f>
        <v>0</v>
      </c>
      <c r="C50" s="392" t="s">
        <v>169</v>
      </c>
      <c r="D50" s="392" t="s">
        <v>61</v>
      </c>
      <c r="E50" s="167">
        <v>1</v>
      </c>
      <c r="F50" s="249">
        <f>F22*'Estimator Input'!$C$9</f>
        <v>0</v>
      </c>
      <c r="G50" s="262">
        <f>G22*'Estimator Input'!$C$9</f>
        <v>0</v>
      </c>
      <c r="H50" s="401">
        <f>H22*'Estimator Input'!$C$9</f>
        <v>0</v>
      </c>
      <c r="I50" s="401">
        <f>I22*'Estimator Input'!$C$9</f>
        <v>0</v>
      </c>
      <c r="J50" s="75" t="e">
        <f>I50/H50</f>
        <v>#DIV/0!</v>
      </c>
      <c r="K50" s="392"/>
    </row>
    <row r="51" spans="2:11">
      <c r="B51" s="392">
        <f>'Estimator Input'!C41</f>
        <v>0</v>
      </c>
      <c r="C51" s="392" t="s">
        <v>169</v>
      </c>
      <c r="D51" s="392" t="s">
        <v>62</v>
      </c>
      <c r="E51" s="167">
        <v>1</v>
      </c>
      <c r="F51" s="249">
        <f>F23*'Estimator Input'!$C$9</f>
        <v>0</v>
      </c>
      <c r="G51" s="262">
        <f>G23*'Estimator Input'!$C$9</f>
        <v>0</v>
      </c>
      <c r="H51" s="401">
        <f>H23*'Estimator Input'!$C$9</f>
        <v>0</v>
      </c>
      <c r="I51" s="401">
        <f>I23*'Estimator Input'!$C$9</f>
        <v>0</v>
      </c>
      <c r="J51" s="75" t="e">
        <f>I51/H51</f>
        <v>#DIV/0!</v>
      </c>
      <c r="K51" s="392"/>
    </row>
    <row r="52" spans="2:11" ht="14.45" customHeight="1" thickBot="1">
      <c r="B52" s="271"/>
      <c r="C52" s="263" t="s">
        <v>170</v>
      </c>
      <c r="D52" s="263" t="s">
        <v>43</v>
      </c>
      <c r="E52" s="272">
        <v>1</v>
      </c>
      <c r="F52" s="273">
        <f>F24*'Estimator Input'!$C$9</f>
        <v>0</v>
      </c>
      <c r="G52" s="274">
        <f>G24*'Estimator Input'!$C$9</f>
        <v>0</v>
      </c>
      <c r="H52" s="269">
        <f>H24*'Estimator Input'!$C$9</f>
        <v>0</v>
      </c>
      <c r="I52" s="269">
        <f>I24*'Estimator Input'!$C$9</f>
        <v>0</v>
      </c>
      <c r="J52" s="270" t="e">
        <f>I52/H52</f>
        <v>#DIV/0!</v>
      </c>
      <c r="K52" s="392"/>
    </row>
    <row r="53" spans="2:11" ht="14.45" customHeight="1" thickTop="1">
      <c r="B53" s="423" t="s">
        <v>156</v>
      </c>
      <c r="C53" s="433"/>
      <c r="D53" s="454"/>
      <c r="E53" s="433"/>
      <c r="F53" s="450"/>
      <c r="G53" s="278">
        <f>G25*'Estimator Input'!$C$9</f>
        <v>0</v>
      </c>
      <c r="H53" s="278">
        <f>H25*'Estimator Input'!$C$9</f>
        <v>0</v>
      </c>
      <c r="I53" s="278">
        <f>I25*'Estimator Input'!$C$9</f>
        <v>0</v>
      </c>
      <c r="J53" s="279" t="e">
        <f>I53/H53</f>
        <v>#DIV/0!</v>
      </c>
      <c r="K53" s="278"/>
    </row>
    <row r="54" spans="2:11">
      <c r="B54" s="404"/>
      <c r="C54" s="165"/>
      <c r="D54" s="403"/>
      <c r="E54" s="16"/>
      <c r="F54" s="166"/>
      <c r="G54" s="401"/>
      <c r="H54" s="392"/>
      <c r="I54" s="392"/>
      <c r="J54" s="392"/>
      <c r="K54" s="392"/>
    </row>
    <row r="55" spans="2:11" ht="15.6" customHeight="1">
      <c r="B55" s="405" t="s">
        <v>171</v>
      </c>
      <c r="C55" s="457"/>
      <c r="D55" s="454"/>
      <c r="E55" s="405"/>
      <c r="F55" s="336"/>
      <c r="G55" s="336" t="e">
        <f>G27*'Estimator Input'!$C$9</f>
        <v>#DIV/0!</v>
      </c>
      <c r="H55" s="336">
        <f>H27*'Estimator Input'!$C$9</f>
        <v>0</v>
      </c>
      <c r="I55" s="336" t="e">
        <f>I27*'Estimator Input'!$C$9</f>
        <v>#DIV/0!</v>
      </c>
      <c r="J55" s="337" t="e">
        <f>I55/H55</f>
        <v>#DIV/0!</v>
      </c>
      <c r="K55" s="392"/>
    </row>
    <row r="58" spans="2:11" ht="35.25" customHeight="1">
      <c r="B58" s="392"/>
      <c r="C58" s="392"/>
      <c r="D58" s="403"/>
      <c r="E58" s="392"/>
      <c r="F58" s="401"/>
      <c r="G58" s="401"/>
      <c r="H58" s="392"/>
      <c r="I58" s="392"/>
      <c r="J58" s="392"/>
      <c r="K58" s="392"/>
    </row>
  </sheetData>
  <mergeCells count="20">
    <mergeCell ref="C55:D55"/>
    <mergeCell ref="B8:F8"/>
    <mergeCell ref="B13:F13"/>
    <mergeCell ref="B15:J15"/>
    <mergeCell ref="B53:F53"/>
    <mergeCell ref="B20:J20"/>
    <mergeCell ref="C27:D27"/>
    <mergeCell ref="B48:J48"/>
    <mergeCell ref="B25:F25"/>
    <mergeCell ref="B46:F46"/>
    <mergeCell ref="B18:F18"/>
    <mergeCell ref="B38:J38"/>
    <mergeCell ref="B10:J10"/>
    <mergeCell ref="B3:J3"/>
    <mergeCell ref="C32:D32"/>
    <mergeCell ref="B31:J31"/>
    <mergeCell ref="B36:F36"/>
    <mergeCell ref="B43:J43"/>
    <mergeCell ref="B41:F41"/>
    <mergeCell ref="C4:D4"/>
  </mergeCells>
  <conditionalFormatting sqref="B6:B7 B22:B23 D22">
    <cfRule type="cellIs" dxfId="15" priority="13" operator="equal">
      <formula>"DHPROGRAM.ProgramManager"</formula>
    </cfRule>
  </conditionalFormatting>
  <conditionalFormatting sqref="D23:D24">
    <cfRule type="cellIs" dxfId="14" priority="12" operator="equal">
      <formula>"DHPROGRAM.ProgramManager"</formula>
    </cfRule>
  </conditionalFormatting>
  <conditionalFormatting sqref="B17">
    <cfRule type="cellIs" dxfId="13" priority="7" operator="equal">
      <formula>"DHPROGRAM.ProgramManager"</formula>
    </cfRule>
  </conditionalFormatting>
  <conditionalFormatting sqref="B12 D12">
    <cfRule type="cellIs" dxfId="12" priority="5" operator="equal">
      <formula>"DHPROGRAM.ProgramManager"</formula>
    </cfRule>
  </conditionalFormatting>
  <conditionalFormatting sqref="B34:B35 B50:B51 D50">
    <cfRule type="cellIs" dxfId="11" priority="4" operator="equal">
      <formula>"DHPROGRAM.ProgramManager"</formula>
    </cfRule>
  </conditionalFormatting>
  <conditionalFormatting sqref="D51:D52">
    <cfRule type="cellIs" dxfId="10" priority="3" operator="equal">
      <formula>"DHPROGRAM.ProgramManager"</formula>
    </cfRule>
  </conditionalFormatting>
  <conditionalFormatting sqref="B45">
    <cfRule type="cellIs" dxfId="9" priority="2" operator="equal">
      <formula>"DHPROGRAM.ProgramManager"</formula>
    </cfRule>
  </conditionalFormatting>
  <conditionalFormatting sqref="B40 D40">
    <cfRule type="cellIs" dxfId="8" priority="1" operator="equal">
      <formula>"DHPROGRAM.ProgramManager"</formula>
    </cfRule>
  </conditionalFormatting>
  <pageMargins left="0.7" right="0.7" top="0.75" bottom="0.75" header="0.3" footer="0.3"/>
  <headerFooter>
    <oddFooter>&amp;C_x000D_&amp;1#&amp;"Calibri"&amp;10&amp;K008000 GENERAL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B13"/>
  <sheetViews>
    <sheetView workbookViewId="0">
      <selection activeCell="I12" sqref="I12"/>
    </sheetView>
  </sheetViews>
  <sheetFormatPr defaultRowHeight="14.1"/>
  <sheetData>
    <row r="2" spans="2:2">
      <c r="B2" s="392" t="s">
        <v>174</v>
      </c>
    </row>
    <row r="3" spans="2:2">
      <c r="B3" s="392" t="s">
        <v>175</v>
      </c>
    </row>
    <row r="4" spans="2:2">
      <c r="B4" s="392" t="s">
        <v>176</v>
      </c>
    </row>
    <row r="5" spans="2:2">
      <c r="B5" s="392" t="s">
        <v>177</v>
      </c>
    </row>
    <row r="6" spans="2:2">
      <c r="B6" s="392" t="s">
        <v>178</v>
      </c>
    </row>
    <row r="8" spans="2:2">
      <c r="B8" s="392" t="s">
        <v>179</v>
      </c>
    </row>
    <row r="9" spans="2:2">
      <c r="B9" s="392" t="s">
        <v>180</v>
      </c>
    </row>
    <row r="10" spans="2:2">
      <c r="B10" s="392" t="s">
        <v>181</v>
      </c>
    </row>
    <row r="12" spans="2:2">
      <c r="B12" s="392" t="s">
        <v>182</v>
      </c>
    </row>
    <row r="13" spans="2:2">
      <c r="B13" s="392" t="s">
        <v>183</v>
      </c>
    </row>
  </sheetData>
  <pageMargins left="0.7" right="0.7" top="0.75" bottom="0.75" header="0.3" footer="0.3"/>
  <headerFooter>
    <oddFooter>&amp;C_x000D_&amp;1#&amp;"Calibri"&amp;10&amp;K008000 GENERAL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E15"/>
  <sheetViews>
    <sheetView workbookViewId="0">
      <selection activeCell="D10" sqref="D10"/>
    </sheetView>
  </sheetViews>
  <sheetFormatPr defaultRowHeight="14.1"/>
  <cols>
    <col min="2" max="2" width="36.125" bestFit="1" customWidth="1"/>
    <col min="3" max="3" width="25.875" bestFit="1" customWidth="1"/>
    <col min="4" max="4" width="28.125" bestFit="1" customWidth="1"/>
    <col min="5" max="5" width="14" bestFit="1" customWidth="1"/>
  </cols>
  <sheetData>
    <row r="2" spans="2:5">
      <c r="B2" s="424" t="s">
        <v>184</v>
      </c>
      <c r="C2" s="433"/>
      <c r="D2" s="433"/>
      <c r="E2" s="433"/>
    </row>
    <row r="3" spans="2:5">
      <c r="B3" s="239" t="s">
        <v>8</v>
      </c>
      <c r="C3" s="364"/>
      <c r="D3" s="364"/>
      <c r="E3" s="364"/>
    </row>
    <row r="4" spans="2:5">
      <c r="B4" s="239" t="s">
        <v>185</v>
      </c>
      <c r="C4" s="236"/>
      <c r="D4" s="236"/>
      <c r="E4" s="233"/>
    </row>
    <row r="5" spans="2:5">
      <c r="B5" s="239" t="s">
        <v>186</v>
      </c>
      <c r="C5" s="238"/>
      <c r="D5" s="392"/>
      <c r="E5" s="166"/>
    </row>
    <row r="6" spans="2:5">
      <c r="B6" s="239" t="s">
        <v>187</v>
      </c>
      <c r="C6" s="239"/>
      <c r="D6" s="239"/>
      <c r="E6" s="166"/>
    </row>
    <row r="7" spans="2:5">
      <c r="B7" s="239" t="s">
        <v>188</v>
      </c>
      <c r="C7" s="239"/>
      <c r="D7" s="239"/>
      <c r="E7" s="166"/>
    </row>
    <row r="8" spans="2:5">
      <c r="B8" s="239" t="s">
        <v>189</v>
      </c>
      <c r="C8" s="238"/>
      <c r="D8" s="392"/>
      <c r="E8" s="166"/>
    </row>
    <row r="9" spans="2:5">
      <c r="B9" s="239" t="s">
        <v>190</v>
      </c>
      <c r="C9" s="239"/>
      <c r="D9" s="236"/>
      <c r="E9" s="233"/>
    </row>
    <row r="10" spans="2:5">
      <c r="B10" s="239" t="s">
        <v>191</v>
      </c>
      <c r="C10" s="238"/>
      <c r="D10" s="392"/>
      <c r="E10" s="166"/>
    </row>
    <row r="11" spans="2:5" ht="15.95" customHeight="1">
      <c r="B11" s="239" t="s">
        <v>192</v>
      </c>
      <c r="C11" s="237"/>
      <c r="D11" s="237"/>
      <c r="E11" s="166"/>
    </row>
    <row r="12" spans="2:5">
      <c r="B12" s="239" t="s">
        <v>193</v>
      </c>
      <c r="C12" s="238"/>
      <c r="D12" s="392"/>
      <c r="E12" s="166"/>
    </row>
    <row r="13" spans="2:5" ht="15.95" customHeight="1">
      <c r="B13" s="240" t="s">
        <v>194</v>
      </c>
      <c r="C13" s="240"/>
      <c r="D13" s="240"/>
      <c r="E13" s="166"/>
    </row>
    <row r="14" spans="2:5">
      <c r="B14" s="239" t="s">
        <v>195</v>
      </c>
      <c r="C14" s="238"/>
      <c r="D14" s="392"/>
      <c r="E14" s="166"/>
    </row>
    <row r="15" spans="2:5">
      <c r="B15" s="392"/>
      <c r="C15" s="392"/>
      <c r="D15" s="392"/>
      <c r="E15" s="166"/>
    </row>
  </sheetData>
  <mergeCells count="1">
    <mergeCell ref="B2:E2"/>
  </mergeCells>
  <pageMargins left="0.7" right="0.7" top="0.75" bottom="0.75" header="0.3" footer="0.3"/>
  <headerFooter>
    <oddFooter>&amp;C_x000D_&amp;1#&amp;"Calibri"&amp;10&amp;K008000 GENERAL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0" tint="-0.14999847407452621"/>
    <pageSetUpPr fitToPage="1"/>
  </sheetPr>
  <dimension ref="B1:R39"/>
  <sheetViews>
    <sheetView showGridLines="0" workbookViewId="0">
      <selection activeCell="F15" sqref="F15:F17"/>
    </sheetView>
  </sheetViews>
  <sheetFormatPr defaultColWidth="9" defaultRowHeight="14.25" customHeight="1"/>
  <cols>
    <col min="1" max="1" width="6" style="1" customWidth="1"/>
    <col min="2" max="2" width="56" style="1" customWidth="1"/>
    <col min="3" max="4" width="18.5" style="1" customWidth="1"/>
    <col min="5" max="5" width="12.5" style="1" customWidth="1"/>
    <col min="6" max="6" width="18.5" style="1" customWidth="1"/>
    <col min="7" max="7" width="9" style="1" customWidth="1"/>
    <col min="8" max="8" width="6" customWidth="1"/>
    <col min="9" max="9" width="17" style="1" customWidth="1"/>
    <col min="10" max="11" width="23.5" style="1" customWidth="1"/>
    <col min="12" max="14" width="14.5" style="1" customWidth="1"/>
    <col min="15" max="17" width="12.5" style="1" hidden="1" customWidth="1"/>
    <col min="18" max="18" width="21.5" style="1" customWidth="1"/>
    <col min="19" max="19" width="9.5" style="1" bestFit="1" customWidth="1"/>
    <col min="20" max="20" width="8" style="1" customWidth="1"/>
    <col min="21" max="21" width="9.5" style="1" bestFit="1" customWidth="1"/>
    <col min="22" max="22" width="9" style="1" customWidth="1"/>
    <col min="23" max="16384" width="9" style="1"/>
  </cols>
  <sheetData>
    <row r="1" spans="2:18" ht="14.25" customHeight="1">
      <c r="B1" s="392" t="s">
        <v>196</v>
      </c>
      <c r="C1" s="18"/>
      <c r="D1" s="18"/>
      <c r="E1" s="18"/>
      <c r="F1" s="18"/>
      <c r="G1" s="2"/>
      <c r="H1" s="392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2:18" ht="14.25" customHeight="1" thickBot="1">
      <c r="B2" s="2" t="s">
        <v>197</v>
      </c>
      <c r="C2" s="18"/>
      <c r="D2" s="18"/>
      <c r="E2" s="18"/>
      <c r="F2" s="18"/>
      <c r="G2" s="18"/>
      <c r="H2" s="392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2:18" ht="14.25" customHeight="1">
      <c r="B3" s="49"/>
      <c r="C3" s="407" t="s">
        <v>198</v>
      </c>
      <c r="D3" s="426" t="s">
        <v>199</v>
      </c>
      <c r="E3" s="451"/>
      <c r="F3" s="407" t="s">
        <v>50</v>
      </c>
      <c r="G3" s="50"/>
      <c r="H3" s="392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2:18" ht="14.25" customHeight="1">
      <c r="B4" s="87" t="s">
        <v>200</v>
      </c>
      <c r="C4" s="27">
        <f>C15</f>
        <v>0</v>
      </c>
      <c r="D4" s="38">
        <f>D15</f>
        <v>0</v>
      </c>
      <c r="E4" s="39" t="str">
        <f>E15</f>
        <v xml:space="preserve">-  </v>
      </c>
      <c r="F4" s="27">
        <f>F15</f>
        <v>0</v>
      </c>
      <c r="G4" s="10"/>
      <c r="H4" s="392"/>
      <c r="I4" s="18"/>
      <c r="J4" s="18"/>
      <c r="K4" s="18"/>
      <c r="L4" s="18"/>
      <c r="M4" s="18"/>
      <c r="N4" s="18"/>
      <c r="O4" s="18"/>
      <c r="P4" s="18"/>
      <c r="Q4" s="18"/>
      <c r="R4" s="18"/>
    </row>
    <row r="5" spans="2:18" ht="14.25" customHeight="1">
      <c r="B5" s="32" t="s">
        <v>201</v>
      </c>
      <c r="C5" s="27">
        <f>C17</f>
        <v>0</v>
      </c>
      <c r="D5" s="38">
        <f>D17</f>
        <v>0</v>
      </c>
      <c r="E5" s="39" t="str">
        <f>E17</f>
        <v xml:space="preserve">-  </v>
      </c>
      <c r="F5" s="27">
        <f>F17</f>
        <v>0</v>
      </c>
      <c r="G5" s="10"/>
      <c r="H5" s="392"/>
      <c r="I5" s="18"/>
      <c r="J5" s="18"/>
      <c r="K5" s="18"/>
      <c r="L5" s="18"/>
      <c r="M5" s="18"/>
      <c r="N5" s="18"/>
      <c r="O5" s="18"/>
      <c r="P5" s="18"/>
      <c r="Q5" s="18"/>
      <c r="R5" s="18"/>
    </row>
    <row r="6" spans="2:18" ht="14.25" customHeight="1">
      <c r="B6" s="32" t="s">
        <v>202</v>
      </c>
      <c r="C6" s="27" t="e">
        <f>C28</f>
        <v>#DIV/0!</v>
      </c>
      <c r="D6" s="38" t="e">
        <f>D28</f>
        <v>#REF!</v>
      </c>
      <c r="E6" s="39" t="e">
        <f>E28</f>
        <v>#REF!</v>
      </c>
      <c r="F6" s="27" t="e">
        <f>F28</f>
        <v>#REF!</v>
      </c>
      <c r="G6" s="10"/>
      <c r="H6" s="392"/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2:18" ht="14.25" customHeight="1">
      <c r="B7" s="87" t="s">
        <v>203</v>
      </c>
      <c r="C7" s="27"/>
      <c r="D7" s="38">
        <v>0</v>
      </c>
      <c r="E7" s="39">
        <v>0</v>
      </c>
      <c r="F7" s="27"/>
      <c r="G7" s="10"/>
      <c r="H7" s="392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2:18" ht="14.25" customHeight="1">
      <c r="B8" s="32" t="s">
        <v>204</v>
      </c>
      <c r="C8" s="27"/>
      <c r="D8" s="38"/>
      <c r="E8" s="39"/>
      <c r="F8" s="216"/>
      <c r="G8" s="10"/>
      <c r="H8" s="392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2:18" ht="14.25" customHeight="1">
      <c r="B9" s="45" t="s">
        <v>116</v>
      </c>
      <c r="C9" s="223" t="e">
        <f>C33</f>
        <v>#DIV/0!</v>
      </c>
      <c r="D9" s="224" t="e">
        <f>SUM(D4:D6)</f>
        <v>#REF!</v>
      </c>
      <c r="E9" s="225" t="e">
        <f>E33</f>
        <v>#REF!</v>
      </c>
      <c r="F9" s="223" t="e">
        <f>F33</f>
        <v>#REF!</v>
      </c>
      <c r="G9" s="10"/>
      <c r="H9" s="392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2:18" ht="14.25" customHeight="1" thickBot="1">
      <c r="B10" s="43"/>
      <c r="C10" s="44"/>
      <c r="D10" s="44"/>
      <c r="E10" s="48"/>
      <c r="F10" s="215"/>
      <c r="G10" s="11"/>
      <c r="H10" s="392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2:18" ht="14.25" customHeight="1">
      <c r="B11" s="18"/>
      <c r="C11" s="18"/>
      <c r="D11" s="18"/>
      <c r="E11" s="18"/>
      <c r="F11" s="18"/>
      <c r="G11" s="2"/>
      <c r="H11" s="392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2:18" ht="14.25" customHeight="1" thickBot="1">
      <c r="B12" s="2" t="s">
        <v>205</v>
      </c>
      <c r="C12" s="18"/>
      <c r="D12" s="18"/>
      <c r="E12" s="18"/>
      <c r="F12" s="18"/>
      <c r="G12" s="18"/>
      <c r="H12" s="392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2:18" ht="14.1" customHeight="1">
      <c r="B13" s="49"/>
      <c r="C13" s="47"/>
      <c r="D13" s="47"/>
      <c r="E13" s="47"/>
      <c r="F13" s="47"/>
      <c r="G13" s="50"/>
      <c r="H13" s="392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ht="14.45" customHeight="1" thickBot="1">
      <c r="B14" s="51"/>
      <c r="C14" s="404" t="s">
        <v>198</v>
      </c>
      <c r="D14" s="422" t="s">
        <v>199</v>
      </c>
      <c r="E14" s="458"/>
      <c r="F14" s="404" t="s">
        <v>50</v>
      </c>
      <c r="G14" s="52"/>
      <c r="H14" s="392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ht="14.45" customHeight="1" thickBot="1">
      <c r="B15" s="87" t="s">
        <v>200</v>
      </c>
      <c r="C15" s="226"/>
      <c r="D15" s="231">
        <f>OLD!F8</f>
        <v>0</v>
      </c>
      <c r="E15" s="228" t="str">
        <f>IF(F15&gt;0,D15/F15,"-  ")</f>
        <v xml:space="preserve">-  </v>
      </c>
      <c r="F15" s="232">
        <f>OLD!F8</f>
        <v>0</v>
      </c>
      <c r="G15" s="52"/>
      <c r="H15" s="392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2:18" ht="14.45" customHeight="1" thickBot="1">
      <c r="B16" s="12"/>
      <c r="C16" s="18"/>
      <c r="D16" s="18"/>
      <c r="E16" s="14"/>
      <c r="F16" s="18"/>
      <c r="G16" s="52"/>
      <c r="H16" s="392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2:17" ht="14.25" customHeight="1" thickBot="1">
      <c r="B17" s="32" t="s">
        <v>201</v>
      </c>
      <c r="C17" s="226">
        <f>Summary!F5</f>
        <v>0</v>
      </c>
      <c r="D17" s="227">
        <f>F17-C17</f>
        <v>0</v>
      </c>
      <c r="E17" s="228" t="str">
        <f>IF(F17&gt;0,D17/F17,"-  ")</f>
        <v xml:space="preserve">-  </v>
      </c>
      <c r="F17" s="229">
        <f>OLD!D8</f>
        <v>0</v>
      </c>
      <c r="G17" s="52"/>
      <c r="H17" s="392"/>
      <c r="I17" s="18"/>
      <c r="J17" s="18"/>
      <c r="K17" s="18"/>
      <c r="L17" s="18"/>
      <c r="M17" s="18"/>
      <c r="N17" s="18"/>
      <c r="O17" s="18"/>
      <c r="P17" s="18"/>
      <c r="Q17" s="18"/>
    </row>
    <row r="18" spans="2:17" ht="14.25" customHeight="1">
      <c r="B18" s="12"/>
      <c r="C18" s="168"/>
      <c r="D18" s="168"/>
      <c r="E18" s="28"/>
      <c r="F18" s="168"/>
      <c r="G18" s="52"/>
      <c r="H18" s="392"/>
      <c r="I18" s="18"/>
      <c r="J18" s="18"/>
      <c r="K18" s="18"/>
      <c r="L18" s="18"/>
      <c r="M18" s="18"/>
      <c r="N18" s="18"/>
      <c r="O18" s="18"/>
      <c r="P18" s="18"/>
      <c r="Q18" s="18"/>
    </row>
    <row r="19" spans="2:17" ht="14.25" customHeight="1">
      <c r="B19" s="12"/>
      <c r="C19" s="168"/>
      <c r="D19" s="168"/>
      <c r="E19" s="28"/>
      <c r="F19" s="168"/>
      <c r="G19" s="52"/>
      <c r="H19" s="392"/>
      <c r="I19" s="18"/>
      <c r="J19" s="18"/>
      <c r="K19" s="18"/>
      <c r="L19" s="18"/>
      <c r="M19" s="18"/>
      <c r="N19" s="18"/>
      <c r="O19" s="18"/>
      <c r="P19" s="18"/>
      <c r="Q19" s="18"/>
    </row>
    <row r="20" spans="2:17" ht="14.25" customHeight="1">
      <c r="B20" s="12"/>
      <c r="C20" s="168"/>
      <c r="D20" s="168"/>
      <c r="E20" s="28"/>
      <c r="F20" s="171"/>
      <c r="G20" s="52"/>
      <c r="H20" s="392"/>
      <c r="I20" s="18"/>
      <c r="J20" s="18"/>
      <c r="K20" s="18"/>
      <c r="L20" s="18"/>
      <c r="M20" s="18"/>
      <c r="N20" s="18"/>
      <c r="O20" s="18"/>
      <c r="P20" s="18"/>
      <c r="Q20" s="18"/>
    </row>
    <row r="21" spans="2:17" ht="14.25" customHeight="1">
      <c r="B21" s="51"/>
      <c r="C21" s="18"/>
      <c r="D21" s="169"/>
      <c r="E21" s="29"/>
      <c r="F21" s="169"/>
      <c r="G21" s="52"/>
      <c r="H21" s="392"/>
      <c r="I21" s="18"/>
      <c r="J21" s="18"/>
      <c r="K21" s="18"/>
      <c r="L21" s="18"/>
      <c r="M21" s="18"/>
      <c r="N21" s="18"/>
      <c r="O21" s="18"/>
      <c r="P21" s="18"/>
      <c r="Q21" s="18"/>
    </row>
    <row r="22" spans="2:17" ht="14.25" customHeight="1">
      <c r="B22" s="32" t="s">
        <v>206</v>
      </c>
      <c r="C22" s="18"/>
      <c r="D22" s="169"/>
      <c r="E22" s="29"/>
      <c r="F22" s="169"/>
      <c r="G22" s="52"/>
      <c r="H22" s="392"/>
      <c r="I22" s="18"/>
      <c r="J22" s="18"/>
      <c r="K22" s="18"/>
      <c r="L22" s="18"/>
      <c r="M22" s="18"/>
      <c r="N22" s="18"/>
      <c r="O22" s="18"/>
      <c r="P22" s="18"/>
      <c r="Q22" s="18"/>
    </row>
    <row r="23" spans="2:17" ht="14.1" customHeight="1">
      <c r="B23" s="12" t="s">
        <v>207</v>
      </c>
      <c r="C23" s="27" t="e">
        <f>Summary!G18</f>
        <v>#DIV/0!</v>
      </c>
      <c r="D23" s="38" t="e">
        <f>F23-C23</f>
        <v>#DIV/0!</v>
      </c>
      <c r="E23" s="39" t="str">
        <f>IF(F23&gt;0,D23/F23,"-  ")</f>
        <v xml:space="preserve">-  </v>
      </c>
      <c r="F23" s="27">
        <f>SUM(OLD!I8)</f>
        <v>0</v>
      </c>
      <c r="G23" s="52"/>
      <c r="H23" s="392"/>
      <c r="I23" s="18"/>
      <c r="J23" s="18"/>
      <c r="K23" s="18"/>
      <c r="L23" s="18"/>
      <c r="M23" s="18"/>
      <c r="N23" s="18"/>
      <c r="O23" s="18"/>
      <c r="P23" s="18"/>
      <c r="Q23" s="18"/>
    </row>
    <row r="24" spans="2:17" ht="14.1" customHeight="1">
      <c r="B24" s="12" t="s">
        <v>208</v>
      </c>
      <c r="C24" s="27" t="e">
        <f>Summary!#REF!</f>
        <v>#REF!</v>
      </c>
      <c r="D24" s="38"/>
      <c r="E24" s="39"/>
      <c r="F24" s="27" t="e">
        <f>Summary!#REF!</f>
        <v>#REF!</v>
      </c>
      <c r="G24" s="52"/>
      <c r="H24" s="392"/>
      <c r="I24" s="18"/>
      <c r="J24" s="18"/>
      <c r="K24" s="18"/>
      <c r="L24" s="18"/>
      <c r="M24" s="18"/>
      <c r="N24" s="18"/>
      <c r="O24" s="18"/>
      <c r="P24" s="18"/>
      <c r="Q24" s="18"/>
    </row>
    <row r="25" spans="2:17" ht="14.25" customHeight="1">
      <c r="B25" s="12" t="s">
        <v>209</v>
      </c>
      <c r="C25" s="27">
        <f>Summary!G7</f>
        <v>0</v>
      </c>
      <c r="D25" s="38">
        <f>F25-C25</f>
        <v>0</v>
      </c>
      <c r="E25" s="39"/>
      <c r="F25" s="27">
        <f>ROUNDUP(C25,2)</f>
        <v>0</v>
      </c>
      <c r="G25" s="52"/>
      <c r="H25" s="392"/>
      <c r="I25" s="18"/>
      <c r="J25" s="18"/>
      <c r="K25" s="18"/>
      <c r="L25" s="18"/>
      <c r="M25" s="18"/>
      <c r="N25" s="18"/>
      <c r="O25" s="18"/>
      <c r="P25" s="18"/>
      <c r="Q25" s="18"/>
    </row>
    <row r="26" spans="2:17" ht="14.25" customHeight="1">
      <c r="B26" s="12" t="s">
        <v>210</v>
      </c>
      <c r="C26" s="27">
        <f>OLD!C37</f>
        <v>0</v>
      </c>
      <c r="D26" s="38">
        <f>F26-C26</f>
        <v>0</v>
      </c>
      <c r="E26" s="39" t="str">
        <f>IF(F26&gt;0,D26/F26,"-  ")</f>
        <v xml:space="preserve">-  </v>
      </c>
      <c r="F26" s="27">
        <v>0</v>
      </c>
      <c r="G26" s="52"/>
      <c r="H26" s="392"/>
      <c r="I26" s="18"/>
      <c r="J26" s="18"/>
      <c r="K26" s="18"/>
      <c r="L26" s="18"/>
      <c r="M26" s="18"/>
      <c r="N26" s="18"/>
      <c r="O26" s="18"/>
      <c r="P26" s="18"/>
      <c r="Q26" s="18"/>
    </row>
    <row r="27" spans="2:17" ht="14.25" customHeight="1" thickBot="1">
      <c r="B27" s="12" t="s">
        <v>211</v>
      </c>
      <c r="C27" s="214">
        <f>Summary!G25</f>
        <v>0</v>
      </c>
      <c r="D27" s="217">
        <f>F27-C27</f>
        <v>0</v>
      </c>
      <c r="E27" s="218" t="str">
        <f>IF(F27&gt;0,D27/F27,"-  ")</f>
        <v xml:space="preserve">-  </v>
      </c>
      <c r="F27" s="214">
        <f>SUM(OLD!H8,OLD!J8:K8)</f>
        <v>0</v>
      </c>
      <c r="G27" s="52"/>
      <c r="H27" s="392"/>
      <c r="I27" s="18"/>
      <c r="J27" s="18"/>
      <c r="K27" s="18"/>
      <c r="L27" s="18"/>
      <c r="M27" s="18"/>
      <c r="N27" s="18"/>
      <c r="O27" s="18"/>
      <c r="P27" s="18"/>
      <c r="Q27" s="18"/>
    </row>
    <row r="28" spans="2:17" ht="14.25" customHeight="1" thickBot="1">
      <c r="B28" s="42" t="s">
        <v>116</v>
      </c>
      <c r="C28" s="226" t="e">
        <f>SUM(C23:C27)</f>
        <v>#DIV/0!</v>
      </c>
      <c r="D28" s="227" t="e">
        <f>F28-C28</f>
        <v>#REF!</v>
      </c>
      <c r="E28" s="228" t="e">
        <f>IF(F28&gt;0,D28/F28,0%)</f>
        <v>#REF!</v>
      </c>
      <c r="F28" s="230" t="e">
        <f>SUM(F23:F27)</f>
        <v>#REF!</v>
      </c>
      <c r="G28" s="52"/>
      <c r="H28" s="392"/>
      <c r="I28" s="18"/>
      <c r="J28" s="18"/>
      <c r="K28" s="18"/>
      <c r="L28" s="18"/>
      <c r="M28" s="18"/>
      <c r="N28" s="18"/>
      <c r="O28" s="18"/>
      <c r="P28" s="18"/>
      <c r="Q28" s="18"/>
    </row>
    <row r="29" spans="2:17" ht="14.25" customHeight="1">
      <c r="B29" s="12" t="s">
        <v>212</v>
      </c>
      <c r="C29" s="425" t="s">
        <v>213</v>
      </c>
      <c r="D29" s="458"/>
      <c r="E29" s="37">
        <v>0.3</v>
      </c>
      <c r="F29" s="168"/>
      <c r="G29" s="52"/>
      <c r="H29" s="392"/>
      <c r="I29" s="18"/>
      <c r="J29" s="18"/>
      <c r="K29" s="18"/>
      <c r="L29" s="18"/>
      <c r="M29" s="18"/>
      <c r="N29" s="18"/>
      <c r="O29" s="18"/>
      <c r="P29" s="18"/>
      <c r="Q29" s="18"/>
    </row>
    <row r="30" spans="2:17" ht="14.25" customHeight="1" thickBot="1">
      <c r="B30" s="19"/>
      <c r="C30" s="168"/>
      <c r="D30" s="168"/>
      <c r="E30" s="28"/>
      <c r="F30" s="168"/>
      <c r="G30" s="52"/>
      <c r="H30" s="392"/>
      <c r="I30" s="18"/>
      <c r="J30" s="23"/>
      <c r="K30" s="18"/>
      <c r="L30" s="18"/>
      <c r="M30" s="18"/>
      <c r="N30" s="18"/>
      <c r="O30" s="18"/>
      <c r="P30" s="18"/>
      <c r="Q30" s="18"/>
    </row>
    <row r="31" spans="2:17" ht="14.25" customHeight="1" thickBot="1">
      <c r="B31" s="170" t="s">
        <v>214</v>
      </c>
      <c r="C31" s="30"/>
      <c r="D31" s="40">
        <f>F31-C31</f>
        <v>0</v>
      </c>
      <c r="E31" s="41" t="str">
        <f>IF(F31&gt;0,D31/F31,"-  ")</f>
        <v xml:space="preserve">-  </v>
      </c>
      <c r="F31" s="31"/>
      <c r="G31" s="52"/>
      <c r="H31" s="392"/>
      <c r="I31" s="18"/>
      <c r="J31" s="23"/>
      <c r="K31" s="18"/>
      <c r="L31" s="18"/>
      <c r="M31" s="18"/>
      <c r="N31" s="18"/>
      <c r="O31" s="18"/>
      <c r="P31" s="18"/>
      <c r="Q31" s="18"/>
    </row>
    <row r="32" spans="2:17" ht="14.25" customHeight="1" thickBot="1">
      <c r="B32" s="12"/>
      <c r="C32" s="18"/>
      <c r="D32" s="18"/>
      <c r="E32" s="14"/>
      <c r="F32" s="18"/>
      <c r="G32" s="52"/>
      <c r="H32" s="392"/>
      <c r="I32" s="18"/>
      <c r="J32" s="18"/>
      <c r="K32" s="18"/>
      <c r="L32" s="18"/>
      <c r="M32" s="18"/>
      <c r="N32" s="18"/>
      <c r="O32" s="18"/>
      <c r="P32" s="18"/>
      <c r="Q32" s="18"/>
    </row>
    <row r="33" spans="2:17" ht="14.25" customHeight="1" thickBot="1">
      <c r="B33" s="19" t="s">
        <v>215</v>
      </c>
      <c r="C33" s="226" t="e">
        <f>SUM(C15,C28,C31,C17)</f>
        <v>#DIV/0!</v>
      </c>
      <c r="D33" s="227" t="e">
        <f>SUM(D15,D17,D28)</f>
        <v>#REF!</v>
      </c>
      <c r="E33" s="228" t="e">
        <f>AVERAGE(E15,E17,E28)</f>
        <v>#REF!</v>
      </c>
      <c r="F33" s="230" t="e">
        <f>F15+F28+F31+F17</f>
        <v>#REF!</v>
      </c>
      <c r="G33" s="52"/>
      <c r="H33" s="392"/>
      <c r="I33" s="18"/>
      <c r="J33" s="18"/>
      <c r="K33" s="18"/>
      <c r="L33" s="18"/>
      <c r="M33" s="18"/>
      <c r="N33" s="18"/>
      <c r="O33" s="18"/>
      <c r="P33" s="18"/>
      <c r="Q33" s="18"/>
    </row>
    <row r="34" spans="2:17" ht="14.25" customHeight="1" thickBot="1">
      <c r="B34" s="54"/>
      <c r="C34" s="55"/>
      <c r="D34" s="55"/>
      <c r="E34" s="56"/>
      <c r="F34" s="48"/>
      <c r="G34" s="57"/>
      <c r="H34" s="392"/>
      <c r="I34" s="18"/>
      <c r="J34" s="18"/>
      <c r="K34" s="18"/>
      <c r="L34" s="18"/>
      <c r="M34" s="18"/>
      <c r="N34" s="18"/>
      <c r="O34" s="18"/>
      <c r="P34" s="18"/>
      <c r="Q34" s="18"/>
    </row>
    <row r="35" spans="2:17" ht="14.25" customHeight="1">
      <c r="B35" s="18"/>
      <c r="C35" s="53"/>
      <c r="D35" s="53"/>
      <c r="E35" s="58"/>
      <c r="F35" s="18"/>
      <c r="G35" s="53"/>
      <c r="H35" s="392"/>
      <c r="I35" s="18"/>
      <c r="J35" s="18"/>
      <c r="K35" s="18"/>
      <c r="L35" s="18"/>
      <c r="M35" s="18"/>
      <c r="N35" s="18"/>
      <c r="O35" s="18"/>
      <c r="P35" s="18"/>
      <c r="Q35" s="18"/>
    </row>
    <row r="36" spans="2:17" ht="14.25" customHeight="1">
      <c r="B36" s="18"/>
      <c r="C36" s="18"/>
      <c r="D36" s="18"/>
      <c r="E36" s="18"/>
      <c r="F36" s="18"/>
      <c r="G36" s="18"/>
      <c r="H36" s="392"/>
      <c r="I36" s="18"/>
      <c r="J36" s="18"/>
      <c r="K36" s="18"/>
      <c r="L36" s="18"/>
      <c r="M36" s="18"/>
      <c r="N36" s="18"/>
      <c r="O36" s="18"/>
      <c r="P36" s="18"/>
      <c r="Q36" s="18"/>
    </row>
    <row r="37" spans="2:17" ht="14.25" customHeight="1">
      <c r="B37" s="18"/>
      <c r="C37" s="2"/>
      <c r="D37" s="18"/>
      <c r="E37" s="18"/>
      <c r="F37" s="18"/>
      <c r="G37" s="18"/>
      <c r="H37" s="392"/>
      <c r="I37" s="18"/>
      <c r="J37" s="18"/>
      <c r="K37" s="18"/>
      <c r="L37" s="18"/>
      <c r="M37" s="18"/>
      <c r="N37" s="18"/>
      <c r="O37" s="18"/>
      <c r="P37" s="18"/>
      <c r="Q37" s="18"/>
    </row>
    <row r="38" spans="2:17" ht="14.25" customHeight="1">
      <c r="B38" s="18"/>
      <c r="C38" s="18"/>
      <c r="D38" s="18"/>
      <c r="E38" s="18"/>
      <c r="F38" s="18"/>
      <c r="G38" s="18"/>
      <c r="H38" s="392"/>
      <c r="I38" s="18"/>
      <c r="J38" s="18"/>
      <c r="K38" s="18"/>
      <c r="L38" s="18"/>
      <c r="M38" s="18"/>
      <c r="N38" s="18"/>
      <c r="O38" s="18"/>
      <c r="P38" s="18"/>
      <c r="Q38" s="18"/>
    </row>
    <row r="39" spans="2:17" ht="14.25" customHeight="1">
      <c r="B39" s="18"/>
      <c r="C39" s="18"/>
      <c r="D39" s="18"/>
      <c r="E39" s="18"/>
      <c r="F39" s="18"/>
      <c r="G39" s="18"/>
      <c r="H39" s="392"/>
      <c r="I39" s="18"/>
      <c r="J39" s="18"/>
      <c r="K39" s="18"/>
      <c r="L39" s="18"/>
      <c r="M39" s="18"/>
      <c r="N39" s="18"/>
      <c r="O39" s="18"/>
      <c r="P39" s="18"/>
      <c r="Q39" s="18"/>
    </row>
  </sheetData>
  <mergeCells count="3">
    <mergeCell ref="D14:E14"/>
    <mergeCell ref="C29:D29"/>
    <mergeCell ref="D3:E3"/>
  </mergeCells>
  <conditionalFormatting sqref="B13">
    <cfRule type="containsText" dxfId="7" priority="10" operator="containsText" text="FAILED">
      <formula>NOT(ISERROR(SEARCH("FAILED",B13)))</formula>
    </cfRule>
  </conditionalFormatting>
  <conditionalFormatting sqref="C29 E29">
    <cfRule type="expression" dxfId="6" priority="13">
      <formula>$E$28&lt;$E$29</formula>
    </cfRule>
  </conditionalFormatting>
  <conditionalFormatting sqref="D31:E31">
    <cfRule type="expression" dxfId="5" priority="15">
      <formula>$E$31&lt;0.3</formula>
    </cfRule>
  </conditionalFormatting>
  <conditionalFormatting sqref="D28:E28">
    <cfRule type="expression" dxfId="4" priority="1">
      <formula>$E$31&lt;0.3</formula>
    </cfRule>
  </conditionalFormatting>
  <dataValidations disablePrompts="1" count="1">
    <dataValidation type="list" allowBlank="1" showInputMessage="1" showErrorMessage="1" sqref="I4 J3" xr:uid="{00000000-0002-0000-0700-000000000000}">
      <formula1>#REF!</formula1>
    </dataValidation>
  </dataValidations>
  <pageMargins left="0.7" right="0.7" top="0.75" bottom="0.75" header="0.3" footer="0.3"/>
  <pageSetup scale="63" orientation="portrait"/>
  <headerFooter>
    <oddFooter>&amp;C_x000D_&amp;1#&amp;"Calibri"&amp;10&amp;K008000 GENERAL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R40"/>
  <sheetViews>
    <sheetView showGridLines="0" workbookViewId="0">
      <selection activeCell="B2" sqref="B2:F2"/>
    </sheetView>
  </sheetViews>
  <sheetFormatPr defaultColWidth="9" defaultRowHeight="14.45"/>
  <cols>
    <col min="1" max="1" width="3.5" style="146" customWidth="1"/>
    <col min="2" max="2" width="9" style="146" customWidth="1"/>
    <col min="3" max="3" width="10.625" style="146" customWidth="1"/>
    <col min="4" max="4" width="12.5" style="146" bestFit="1" customWidth="1"/>
    <col min="5" max="6" width="9" style="146" customWidth="1"/>
    <col min="7" max="7" width="9.625" style="146" customWidth="1"/>
    <col min="8" max="8" width="13.125" style="146" customWidth="1"/>
    <col min="9" max="9" width="17.875" style="146" bestFit="1" customWidth="1"/>
    <col min="10" max="10" width="10.5" style="146" customWidth="1"/>
    <col min="11" max="11" width="8.875" style="146" customWidth="1"/>
    <col min="12" max="12" width="9" style="146" customWidth="1"/>
    <col min="13" max="13" width="10" style="146" customWidth="1"/>
    <col min="14" max="14" width="9.5" style="146" customWidth="1"/>
    <col min="15" max="15" width="11.125" style="146" customWidth="1"/>
    <col min="16" max="16" width="9" style="146" customWidth="1"/>
    <col min="17" max="16384" width="9" style="146"/>
  </cols>
  <sheetData>
    <row r="1" spans="2:18" ht="15" customHeight="1" thickBot="1">
      <c r="B1" s="459"/>
      <c r="C1" s="459"/>
      <c r="D1" s="459"/>
      <c r="E1" s="459"/>
      <c r="F1" s="459"/>
      <c r="G1" s="459"/>
      <c r="H1" s="459"/>
      <c r="I1" s="459"/>
      <c r="J1" s="459"/>
      <c r="K1" s="459"/>
      <c r="L1" s="459"/>
      <c r="M1" s="459"/>
      <c r="N1" s="459"/>
      <c r="O1" s="459"/>
      <c r="P1" s="459"/>
      <c r="Q1" s="459"/>
      <c r="R1" s="459"/>
    </row>
    <row r="2" spans="2:18" ht="60.75" customHeight="1" thickBot="1">
      <c r="B2" s="428" t="s">
        <v>216</v>
      </c>
      <c r="C2" s="444"/>
      <c r="D2" s="444"/>
      <c r="E2" s="444"/>
      <c r="F2" s="460"/>
      <c r="G2" s="220" t="s">
        <v>217</v>
      </c>
      <c r="H2" s="220" t="s">
        <v>218</v>
      </c>
      <c r="I2" s="221" t="s">
        <v>219</v>
      </c>
      <c r="J2" s="221" t="s">
        <v>218</v>
      </c>
      <c r="K2" s="220" t="s">
        <v>220</v>
      </c>
      <c r="L2" s="220" t="s">
        <v>218</v>
      </c>
      <c r="M2" s="220" t="s">
        <v>221</v>
      </c>
      <c r="N2" s="220" t="s">
        <v>218</v>
      </c>
      <c r="O2" s="220" t="s">
        <v>222</v>
      </c>
      <c r="P2" s="220" t="s">
        <v>223</v>
      </c>
      <c r="Q2" s="220" t="s">
        <v>224</v>
      </c>
      <c r="R2" s="222" t="s">
        <v>225</v>
      </c>
    </row>
    <row r="3" spans="2:18">
      <c r="B3" s="149" t="s">
        <v>226</v>
      </c>
      <c r="C3" s="150" t="s">
        <v>227</v>
      </c>
      <c r="D3" s="150" t="s">
        <v>228</v>
      </c>
      <c r="E3" s="150" t="s">
        <v>229</v>
      </c>
      <c r="F3" s="150" t="s">
        <v>230</v>
      </c>
      <c r="G3" s="151"/>
      <c r="H3" s="151"/>
      <c r="I3" s="151"/>
      <c r="J3" s="151"/>
      <c r="K3" s="151"/>
      <c r="L3" s="151"/>
      <c r="M3" s="151"/>
      <c r="N3" s="151"/>
      <c r="O3" s="459"/>
      <c r="P3" s="461"/>
      <c r="Q3" s="461"/>
      <c r="R3" s="459"/>
    </row>
    <row r="4" spans="2:18">
      <c r="B4" s="462" t="s">
        <v>231</v>
      </c>
      <c r="C4" s="152">
        <f>'[4]Year 1'!C4/0.9</f>
        <v>23120.377777777776</v>
      </c>
      <c r="D4" s="152">
        <f>C4/0.65</f>
        <v>35569.811965811961</v>
      </c>
      <c r="E4" s="153">
        <v>30</v>
      </c>
      <c r="F4" s="153">
        <v>30</v>
      </c>
      <c r="G4" s="152">
        <f>'[4]Year 1'!G4/0.9</f>
        <v>9412.5</v>
      </c>
      <c r="H4" s="152">
        <f>G4/0.65</f>
        <v>14480.76923076923</v>
      </c>
      <c r="I4" s="152">
        <f>'[4]Year 1'!I4/0.9</f>
        <v>9114.2111111111117</v>
      </c>
      <c r="J4" s="152">
        <f>I4/0.65</f>
        <v>14021.863247863248</v>
      </c>
      <c r="K4" s="152">
        <f>'[4]Year 1'!K4/0.9</f>
        <v>2777.6666666666665</v>
      </c>
      <c r="L4" s="152">
        <f>K4/0.65</f>
        <v>4273.333333333333</v>
      </c>
      <c r="M4" s="152">
        <f>'[4]Year 1'!M4/0.9</f>
        <v>1816</v>
      </c>
      <c r="N4" s="152">
        <f>M4/0.65</f>
        <v>2793.8461538461538</v>
      </c>
      <c r="O4" s="463">
        <f>D4/3</f>
        <v>11856.603988603987</v>
      </c>
      <c r="P4" s="154">
        <v>34</v>
      </c>
      <c r="Q4" s="464">
        <f>P4*E4</f>
        <v>1020</v>
      </c>
      <c r="R4" s="464">
        <f>P4*F4</f>
        <v>1020</v>
      </c>
    </row>
    <row r="5" spans="2:18">
      <c r="B5" s="462" t="s">
        <v>232</v>
      </c>
      <c r="C5" s="152">
        <f>'[4]Year 1'!C5/0.9</f>
        <v>23120.377777777776</v>
      </c>
      <c r="D5" s="152">
        <f>C5/0.65</f>
        <v>35569.811965811961</v>
      </c>
      <c r="E5" s="153">
        <v>30</v>
      </c>
      <c r="F5" s="153">
        <v>30</v>
      </c>
      <c r="G5" s="152">
        <f>'[4]Year 1'!G5/0.9</f>
        <v>9412.5</v>
      </c>
      <c r="H5" s="152">
        <f>G5/0.65</f>
        <v>14480.76923076923</v>
      </c>
      <c r="I5" s="152">
        <f>'[4]Year 1'!I5/0.9</f>
        <v>9114.2111111111117</v>
      </c>
      <c r="J5" s="152">
        <f>I5/0.65</f>
        <v>14021.863247863248</v>
      </c>
      <c r="K5" s="152">
        <f>'[4]Year 1'!K5/0.9</f>
        <v>2777.6666666666665</v>
      </c>
      <c r="L5" s="152">
        <f>K5/0.65</f>
        <v>4273.333333333333</v>
      </c>
      <c r="M5" s="152">
        <f>'[4]Year 1'!M5/0.9</f>
        <v>1816</v>
      </c>
      <c r="N5" s="152">
        <f>M5/0.65</f>
        <v>2793.8461538461538</v>
      </c>
      <c r="O5" s="463">
        <f>D5/3</f>
        <v>11856.603988603987</v>
      </c>
      <c r="P5" s="154">
        <v>39</v>
      </c>
      <c r="Q5" s="464">
        <f>P5*E5</f>
        <v>1170</v>
      </c>
      <c r="R5" s="464">
        <f>P5*F5</f>
        <v>1170</v>
      </c>
    </row>
    <row r="6" spans="2:18">
      <c r="B6" s="462" t="s">
        <v>233</v>
      </c>
      <c r="C6" s="152">
        <f>'[4]Year 1'!C6/0.9</f>
        <v>16645.588888888888</v>
      </c>
      <c r="D6" s="152">
        <f>C6/0.65</f>
        <v>25608.598290598289</v>
      </c>
      <c r="E6" s="153">
        <v>30</v>
      </c>
      <c r="F6" s="153">
        <v>30</v>
      </c>
      <c r="G6" s="152">
        <f>'[4]Year 1'!G6/0.9</f>
        <v>4813.8888888888887</v>
      </c>
      <c r="H6" s="152">
        <f>G6/0.65</f>
        <v>7405.9829059829053</v>
      </c>
      <c r="I6" s="152">
        <f>'[4]Year 1'!I6/0.9</f>
        <v>7941.0333333333338</v>
      </c>
      <c r="J6" s="152">
        <f>I6/0.65</f>
        <v>12216.974358974359</v>
      </c>
      <c r="K6" s="152">
        <f>'[4]Year 1'!K6/0.9</f>
        <v>2510.3333333333335</v>
      </c>
      <c r="L6" s="152">
        <f>K6/0.65</f>
        <v>3862.0512820512822</v>
      </c>
      <c r="M6" s="152">
        <f>'[4]Year 1'!M6/0.9</f>
        <v>1380.3333333333333</v>
      </c>
      <c r="N6" s="152">
        <f>M6/0.65</f>
        <v>2123.5897435897432</v>
      </c>
      <c r="O6" s="463">
        <f>D6/3</f>
        <v>8536.1994301994291</v>
      </c>
      <c r="P6" s="154">
        <v>12</v>
      </c>
      <c r="Q6" s="464">
        <f>P6*E6</f>
        <v>360</v>
      </c>
      <c r="R6" s="464">
        <f>P6*F6</f>
        <v>360</v>
      </c>
    </row>
    <row r="7" spans="2:18">
      <c r="B7" s="459"/>
      <c r="C7" s="459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1"/>
      <c r="Q7" s="461"/>
      <c r="R7" s="459"/>
    </row>
    <row r="8" spans="2:18" ht="9.75" customHeight="1" thickBot="1">
      <c r="B8" s="459"/>
      <c r="C8" s="459"/>
      <c r="D8" s="459"/>
      <c r="E8" s="459"/>
      <c r="F8" s="459"/>
      <c r="G8" s="459"/>
      <c r="H8" s="459"/>
      <c r="I8" s="459"/>
      <c r="J8" s="459"/>
      <c r="K8" s="459"/>
      <c r="L8" s="459"/>
      <c r="M8" s="459"/>
      <c r="N8" s="459"/>
      <c r="O8" s="459"/>
      <c r="P8" s="461"/>
      <c r="Q8" s="461"/>
      <c r="R8" s="459"/>
    </row>
    <row r="9" spans="2:18" ht="58.5" customHeight="1" thickBot="1">
      <c r="B9" s="428" t="s">
        <v>234</v>
      </c>
      <c r="C9" s="444"/>
      <c r="D9" s="444"/>
      <c r="E9" s="444"/>
      <c r="F9" s="460"/>
      <c r="G9" s="220" t="s">
        <v>217</v>
      </c>
      <c r="H9" s="220" t="s">
        <v>218</v>
      </c>
      <c r="I9" s="221" t="s">
        <v>219</v>
      </c>
      <c r="J9" s="221" t="s">
        <v>218</v>
      </c>
      <c r="K9" s="220" t="s">
        <v>220</v>
      </c>
      <c r="L9" s="220" t="s">
        <v>218</v>
      </c>
      <c r="M9" s="220" t="s">
        <v>221</v>
      </c>
      <c r="N9" s="220" t="s">
        <v>218</v>
      </c>
      <c r="O9" s="220" t="s">
        <v>222</v>
      </c>
      <c r="P9" s="220" t="s">
        <v>223</v>
      </c>
      <c r="Q9" s="220" t="s">
        <v>224</v>
      </c>
      <c r="R9" s="222" t="s">
        <v>225</v>
      </c>
    </row>
    <row r="10" spans="2:18">
      <c r="B10" s="149" t="s">
        <v>226</v>
      </c>
      <c r="C10" s="150" t="s">
        <v>227</v>
      </c>
      <c r="D10" s="150" t="s">
        <v>228</v>
      </c>
      <c r="E10" s="150" t="s">
        <v>229</v>
      </c>
      <c r="F10" s="150" t="s">
        <v>230</v>
      </c>
      <c r="G10" s="151"/>
      <c r="H10" s="151"/>
      <c r="I10" s="151"/>
      <c r="J10" s="151"/>
      <c r="K10" s="151"/>
      <c r="L10" s="151"/>
      <c r="M10" s="151"/>
      <c r="N10" s="151"/>
      <c r="O10" s="459"/>
      <c r="P10" s="461"/>
      <c r="Q10" s="461"/>
      <c r="R10" s="459"/>
    </row>
    <row r="11" spans="2:18">
      <c r="B11" s="462" t="s">
        <v>231</v>
      </c>
      <c r="C11" s="152">
        <f>'[4]Year 1'!C11/0.9</f>
        <v>3414.4</v>
      </c>
      <c r="D11" s="152">
        <f>C11/0.65</f>
        <v>5252.9230769230771</v>
      </c>
      <c r="E11" s="153">
        <v>6</v>
      </c>
      <c r="F11" s="153">
        <v>6</v>
      </c>
      <c r="G11" s="152">
        <f>'[4]Year 1'!G11/0.9</f>
        <v>903.6</v>
      </c>
      <c r="H11" s="152">
        <f>G11/0.65</f>
        <v>1390.1538461538462</v>
      </c>
      <c r="I11" s="152">
        <v>1476.24</v>
      </c>
      <c r="J11" s="152">
        <f>I11/0.55</f>
        <v>2684.0727272727272</v>
      </c>
      <c r="K11" s="152">
        <f>'[4]Year 1'!K11/0.9</f>
        <v>555.5333333333333</v>
      </c>
      <c r="L11" s="152">
        <f>K11/0.65</f>
        <v>854.66666666666663</v>
      </c>
      <c r="M11" s="152">
        <f>'[4]Year 1'!M11/0.9</f>
        <v>363.2</v>
      </c>
      <c r="N11" s="152">
        <f>M11/0.65</f>
        <v>558.76923076923072</v>
      </c>
      <c r="O11" s="463">
        <f>D11</f>
        <v>5252.9230769230771</v>
      </c>
      <c r="P11" s="154">
        <v>85</v>
      </c>
      <c r="Q11" s="464">
        <f>P11*E11</f>
        <v>510</v>
      </c>
      <c r="R11" s="464">
        <f>P11*F11</f>
        <v>510</v>
      </c>
    </row>
    <row r="12" spans="2:18">
      <c r="B12" s="462" t="s">
        <v>232</v>
      </c>
      <c r="C12" s="152">
        <f>'[4]Year 1'!C12/0.9</f>
        <v>3414.4</v>
      </c>
      <c r="D12" s="152">
        <f>C12/0.65</f>
        <v>5252.9230769230771</v>
      </c>
      <c r="E12" s="153">
        <v>6</v>
      </c>
      <c r="F12" s="153">
        <v>6</v>
      </c>
      <c r="G12" s="152">
        <f>'[4]Year 1'!G12/0.9</f>
        <v>903.6</v>
      </c>
      <c r="H12" s="152">
        <f>G12/0.65</f>
        <v>1390.1538461538462</v>
      </c>
      <c r="I12" s="152">
        <v>1476.24</v>
      </c>
      <c r="J12" s="152">
        <f>I12/0.55</f>
        <v>2684.0727272727272</v>
      </c>
      <c r="K12" s="152">
        <f>'[4]Year 1'!K12/0.9</f>
        <v>555.5333333333333</v>
      </c>
      <c r="L12" s="152">
        <f>K12/0.65</f>
        <v>854.66666666666663</v>
      </c>
      <c r="M12" s="152">
        <f>'[4]Year 1'!M12/0.9</f>
        <v>363.2</v>
      </c>
      <c r="N12" s="152">
        <f>M12/0.65</f>
        <v>558.76923076923072</v>
      </c>
      <c r="O12" s="463">
        <f>D12</f>
        <v>5252.9230769230771</v>
      </c>
      <c r="P12" s="154">
        <v>10</v>
      </c>
      <c r="Q12" s="464">
        <f>P12*E12</f>
        <v>60</v>
      </c>
      <c r="R12" s="464">
        <f>P12*F12</f>
        <v>60</v>
      </c>
    </row>
    <row r="13" spans="2:18">
      <c r="B13" s="462" t="s">
        <v>233</v>
      </c>
      <c r="C13" s="152">
        <f>'[4]Year 1'!C13/0.9</f>
        <v>2706.9555555555557</v>
      </c>
      <c r="D13" s="152">
        <f>C13/0.65</f>
        <v>4164.5470085470088</v>
      </c>
      <c r="E13" s="153">
        <v>6</v>
      </c>
      <c r="F13" s="153">
        <v>6</v>
      </c>
      <c r="G13" s="152">
        <f>'[4]Year 1'!G13/0.9</f>
        <v>462.13333333333333</v>
      </c>
      <c r="H13" s="152">
        <f>G13/0.65</f>
        <v>710.97435897435889</v>
      </c>
      <c r="I13" s="152">
        <v>1476.24</v>
      </c>
      <c r="J13" s="152">
        <f>I13/0.55</f>
        <v>2684.0727272727272</v>
      </c>
      <c r="K13" s="152">
        <f>'[4]Year 1'!K13/0.9</f>
        <v>502.06666666666666</v>
      </c>
      <c r="L13" s="152">
        <f>K13/0.65</f>
        <v>772.41025641025635</v>
      </c>
      <c r="M13" s="152">
        <f>'[4]Year 1'!M13/0.9</f>
        <v>276.06666666666666</v>
      </c>
      <c r="N13" s="152">
        <f>M13/0.65</f>
        <v>424.71794871794867</v>
      </c>
      <c r="O13" s="463">
        <f>D13</f>
        <v>4164.5470085470088</v>
      </c>
      <c r="P13" s="154">
        <v>10</v>
      </c>
      <c r="Q13" s="464">
        <f>P13*E13</f>
        <v>60</v>
      </c>
      <c r="R13" s="464">
        <f>P13*F13</f>
        <v>60</v>
      </c>
    </row>
    <row r="14" spans="2:18">
      <c r="B14" s="459"/>
      <c r="C14" s="459"/>
      <c r="D14" s="459"/>
      <c r="E14" s="459"/>
      <c r="F14" s="459"/>
      <c r="G14" s="459"/>
      <c r="H14" s="459"/>
      <c r="I14" s="459"/>
      <c r="J14" s="459"/>
      <c r="K14" s="459"/>
      <c r="L14" s="459"/>
      <c r="M14" s="459"/>
      <c r="N14" s="459"/>
      <c r="O14" s="459"/>
      <c r="P14" s="155"/>
      <c r="Q14" s="465"/>
      <c r="R14" s="459"/>
    </row>
    <row r="15" spans="2:18" ht="15" customHeight="1" thickBot="1">
      <c r="B15" s="459"/>
      <c r="C15" s="459"/>
      <c r="D15" s="459"/>
      <c r="E15" s="459"/>
      <c r="F15" s="459"/>
      <c r="G15" s="459"/>
      <c r="H15" s="459"/>
      <c r="I15" s="459"/>
      <c r="J15" s="459"/>
      <c r="K15" s="459"/>
      <c r="L15" s="459"/>
      <c r="M15" s="459"/>
      <c r="N15" s="459"/>
      <c r="O15" s="459"/>
      <c r="P15" s="155"/>
      <c r="Q15" s="465"/>
      <c r="R15" s="459"/>
    </row>
    <row r="16" spans="2:18" ht="44.1" customHeight="1" thickBot="1">
      <c r="B16" s="427" t="s">
        <v>235</v>
      </c>
      <c r="C16" s="444"/>
      <c r="D16" s="444"/>
      <c r="E16" s="444"/>
      <c r="F16" s="460"/>
      <c r="G16" s="148" t="s">
        <v>217</v>
      </c>
      <c r="H16" s="148" t="s">
        <v>236</v>
      </c>
      <c r="I16" s="147" t="s">
        <v>237</v>
      </c>
      <c r="J16" s="147" t="s">
        <v>236</v>
      </c>
      <c r="K16" s="148" t="s">
        <v>220</v>
      </c>
      <c r="L16" s="148" t="s">
        <v>236</v>
      </c>
      <c r="M16" s="148" t="s">
        <v>221</v>
      </c>
      <c r="N16" s="148" t="s">
        <v>236</v>
      </c>
      <c r="O16" s="148" t="s">
        <v>223</v>
      </c>
      <c r="P16" s="148" t="s">
        <v>224</v>
      </c>
      <c r="Q16" s="219" t="s">
        <v>225</v>
      </c>
      <c r="R16" s="459"/>
    </row>
    <row r="17" spans="2:18">
      <c r="B17" s="149" t="s">
        <v>226</v>
      </c>
      <c r="C17" s="150" t="s">
        <v>227</v>
      </c>
      <c r="D17" s="150" t="s">
        <v>238</v>
      </c>
      <c r="E17" s="150" t="s">
        <v>229</v>
      </c>
      <c r="F17" s="150" t="s">
        <v>230</v>
      </c>
      <c r="G17" s="151"/>
      <c r="H17" s="151"/>
      <c r="I17" s="151"/>
      <c r="J17" s="151"/>
      <c r="K17" s="151"/>
      <c r="L17" s="151"/>
      <c r="M17" s="151"/>
      <c r="N17" s="151"/>
      <c r="O17" s="155"/>
      <c r="P17" s="465"/>
      <c r="Q17" s="459"/>
      <c r="R17" s="459"/>
    </row>
    <row r="18" spans="2:18">
      <c r="B18" s="462" t="s">
        <v>231</v>
      </c>
      <c r="C18" s="152">
        <f>'[4]Year 1'!C18/0.9</f>
        <v>665.06666666666661</v>
      </c>
      <c r="D18" s="152">
        <f>C18/0.55</f>
        <v>1209.212121212121</v>
      </c>
      <c r="E18" s="153">
        <v>2</v>
      </c>
      <c r="F18" s="153">
        <v>2</v>
      </c>
      <c r="G18" s="152">
        <f>'[4]Year 1'!G18/0.9</f>
        <v>150.6</v>
      </c>
      <c r="H18" s="152">
        <f>G18/0.55</f>
        <v>273.81818181818181</v>
      </c>
      <c r="I18" s="152">
        <f>'[4]Year 1'!I18/0.9</f>
        <v>208.22222222222223</v>
      </c>
      <c r="J18" s="152">
        <f>I18/0.55</f>
        <v>378.58585858585855</v>
      </c>
      <c r="K18" s="152">
        <f>'[4]Year 1'!K18/0.9</f>
        <v>185.17777777777778</v>
      </c>
      <c r="L18" s="152">
        <f>K18/0.55</f>
        <v>336.68686868686865</v>
      </c>
      <c r="M18" s="152">
        <f>'[4]Year 1'!M18/0.9</f>
        <v>121.06666666666666</v>
      </c>
      <c r="N18" s="152">
        <f>M18/0.55</f>
        <v>220.1212121212121</v>
      </c>
      <c r="O18" s="154">
        <v>210</v>
      </c>
      <c r="P18" s="464">
        <f>O18*E18</f>
        <v>420</v>
      </c>
      <c r="Q18" s="464">
        <f>O18*F18</f>
        <v>420</v>
      </c>
      <c r="R18" s="459"/>
    </row>
    <row r="19" spans="2:18">
      <c r="B19" s="462" t="s">
        <v>232</v>
      </c>
      <c r="C19" s="152">
        <f>'[4]Year 1'!C19/0.9</f>
        <v>665.06666666666661</v>
      </c>
      <c r="D19" s="152">
        <f>C19/0.55</f>
        <v>1209.212121212121</v>
      </c>
      <c r="E19" s="153">
        <v>2</v>
      </c>
      <c r="F19" s="153">
        <v>2</v>
      </c>
      <c r="G19" s="152">
        <f>'[4]Year 1'!G19/0.9</f>
        <v>150.6</v>
      </c>
      <c r="H19" s="152">
        <f>G19/0.55</f>
        <v>273.81818181818181</v>
      </c>
      <c r="I19" s="152">
        <f>'[4]Year 1'!I19/0.9</f>
        <v>208.22222222222223</v>
      </c>
      <c r="J19" s="152">
        <f>I19/0.55</f>
        <v>378.58585858585855</v>
      </c>
      <c r="K19" s="152">
        <f>'[4]Year 1'!K19/0.9</f>
        <v>185.17777777777778</v>
      </c>
      <c r="L19" s="152">
        <f>K19/0.55</f>
        <v>336.68686868686865</v>
      </c>
      <c r="M19" s="152">
        <f>'[4]Year 1'!M19/0.9</f>
        <v>121.06666666666666</v>
      </c>
      <c r="N19" s="152">
        <f>M19/0.55</f>
        <v>220.1212121212121</v>
      </c>
      <c r="O19" s="154">
        <v>45</v>
      </c>
      <c r="P19" s="464">
        <f>O19*E19</f>
        <v>90</v>
      </c>
      <c r="Q19" s="464">
        <f>O19*F19</f>
        <v>90</v>
      </c>
      <c r="R19" s="459"/>
    </row>
    <row r="20" spans="2:18">
      <c r="B20" s="462" t="s">
        <v>233</v>
      </c>
      <c r="C20" s="152">
        <f>'[4]Year 1'!C20/0.9</f>
        <v>508.8</v>
      </c>
      <c r="D20" s="152">
        <f>C20/0.55</f>
        <v>925.09090909090901</v>
      </c>
      <c r="E20" s="153">
        <v>2</v>
      </c>
      <c r="F20" s="153">
        <v>2</v>
      </c>
      <c r="G20" s="152">
        <f>'[4]Year 1'!G20/0.9</f>
        <v>77.022222222222211</v>
      </c>
      <c r="H20" s="152">
        <f>G20/0.55</f>
        <v>140.04040404040401</v>
      </c>
      <c r="I20" s="152">
        <f>'[4]Year 1'!I20/0.9</f>
        <v>172.4</v>
      </c>
      <c r="J20" s="152">
        <f>I20/0.55</f>
        <v>313.45454545454544</v>
      </c>
      <c r="K20" s="152">
        <f>'[4]Year 1'!K20/0.9</f>
        <v>167.35555555555555</v>
      </c>
      <c r="L20" s="152">
        <f>K20/0.55</f>
        <v>304.28282828282823</v>
      </c>
      <c r="M20" s="152">
        <f>'[4]Year 1'!M20/0.9</f>
        <v>92.022222222222211</v>
      </c>
      <c r="N20" s="152">
        <f>M20/0.55</f>
        <v>167.31313131313129</v>
      </c>
      <c r="O20" s="154">
        <v>20</v>
      </c>
      <c r="P20" s="464">
        <f>O20*E20</f>
        <v>40</v>
      </c>
      <c r="Q20" s="464">
        <f>O20*F20</f>
        <v>40</v>
      </c>
      <c r="R20" s="459"/>
    </row>
    <row r="21" spans="2:18">
      <c r="B21" s="459"/>
      <c r="C21" s="459"/>
      <c r="D21" s="459"/>
      <c r="E21" s="459"/>
      <c r="F21" s="459"/>
      <c r="G21" s="459"/>
      <c r="H21" s="459"/>
      <c r="I21" s="459"/>
      <c r="J21" s="459"/>
      <c r="K21" s="459"/>
      <c r="L21" s="459"/>
      <c r="M21" s="459"/>
      <c r="N21" s="459"/>
      <c r="O21" s="459"/>
      <c r="P21" s="155"/>
      <c r="Q21" s="465"/>
      <c r="R21" s="459"/>
    </row>
    <row r="22" spans="2:18" ht="15" customHeight="1" thickBot="1">
      <c r="B22" s="459"/>
      <c r="C22" s="459"/>
      <c r="D22" s="459"/>
      <c r="E22" s="459"/>
      <c r="F22" s="459"/>
      <c r="G22" s="459"/>
      <c r="H22" s="459"/>
      <c r="I22" s="459"/>
      <c r="J22" s="459"/>
      <c r="K22" s="459"/>
      <c r="L22" s="459"/>
      <c r="M22" s="459"/>
      <c r="N22" s="459"/>
      <c r="O22" s="459"/>
      <c r="P22" s="155"/>
      <c r="Q22" s="465"/>
      <c r="R22" s="459"/>
    </row>
    <row r="23" spans="2:18" ht="44.1" customHeight="1" thickBot="1">
      <c r="B23" s="427" t="s">
        <v>239</v>
      </c>
      <c r="C23" s="444"/>
      <c r="D23" s="444"/>
      <c r="E23" s="444"/>
      <c r="F23" s="460"/>
      <c r="G23" s="148" t="s">
        <v>217</v>
      </c>
      <c r="H23" s="148" t="s">
        <v>236</v>
      </c>
      <c r="I23" s="147" t="s">
        <v>237</v>
      </c>
      <c r="J23" s="147" t="s">
        <v>236</v>
      </c>
      <c r="K23" s="148" t="s">
        <v>220</v>
      </c>
      <c r="L23" s="148" t="s">
        <v>236</v>
      </c>
      <c r="M23" s="148" t="s">
        <v>221</v>
      </c>
      <c r="N23" s="148" t="s">
        <v>236</v>
      </c>
      <c r="O23" s="148" t="s">
        <v>223</v>
      </c>
      <c r="P23" s="148" t="s">
        <v>224</v>
      </c>
      <c r="Q23" s="219" t="s">
        <v>225</v>
      </c>
      <c r="R23" s="459"/>
    </row>
    <row r="24" spans="2:18">
      <c r="B24" s="149" t="s">
        <v>226</v>
      </c>
      <c r="C24" s="150" t="s">
        <v>227</v>
      </c>
      <c r="D24" s="150" t="s">
        <v>238</v>
      </c>
      <c r="E24" s="150" t="s">
        <v>229</v>
      </c>
      <c r="F24" s="150" t="s">
        <v>230</v>
      </c>
      <c r="G24" s="151"/>
      <c r="H24" s="151"/>
      <c r="I24" s="151"/>
      <c r="J24" s="151"/>
      <c r="K24" s="151"/>
      <c r="L24" s="151"/>
      <c r="M24" s="151"/>
      <c r="N24" s="151"/>
      <c r="O24" s="459"/>
      <c r="P24" s="155"/>
      <c r="Q24" s="465"/>
      <c r="R24" s="459"/>
    </row>
    <row r="25" spans="2:18">
      <c r="B25" s="462" t="s">
        <v>231</v>
      </c>
      <c r="C25" s="152">
        <f>'[4]Year 1'!C25/0.9</f>
        <v>454.66666666666663</v>
      </c>
      <c r="D25" s="152">
        <f>C25/0.55</f>
        <v>826.66666666666652</v>
      </c>
      <c r="E25" s="153">
        <v>2</v>
      </c>
      <c r="F25" s="153">
        <v>2</v>
      </c>
      <c r="G25" s="152">
        <f>'[4]Year 1'!G25/0.9</f>
        <v>75.3</v>
      </c>
      <c r="H25" s="152">
        <f>G25/0.55</f>
        <v>136.90909090909091</v>
      </c>
      <c r="I25" s="152">
        <f>'[4]Year 1'!I25/0.9</f>
        <v>73.12222222222222</v>
      </c>
      <c r="J25" s="152">
        <f>I25/0.55</f>
        <v>132.94949494949495</v>
      </c>
      <c r="K25" s="152">
        <f>'[4]Year 1'!K25/0.9</f>
        <v>185.17777777777778</v>
      </c>
      <c r="L25" s="152">
        <f>K25/0.55</f>
        <v>336.68686868686865</v>
      </c>
      <c r="M25" s="152">
        <f>'[4]Year 1'!M18/0.9</f>
        <v>121.06666666666666</v>
      </c>
      <c r="N25" s="152">
        <f>M25/0.55</f>
        <v>220.1212121212121</v>
      </c>
      <c r="O25" s="152">
        <f>D25</f>
        <v>826.66666666666652</v>
      </c>
      <c r="P25" s="156">
        <v>20</v>
      </c>
      <c r="Q25" s="157">
        <f>P25*E25</f>
        <v>40</v>
      </c>
      <c r="R25" s="465"/>
    </row>
    <row r="26" spans="2:18">
      <c r="B26" s="462" t="s">
        <v>232</v>
      </c>
      <c r="C26" s="152">
        <f>'[4]Year 1'!C26/0.9</f>
        <v>454.66666666666663</v>
      </c>
      <c r="D26" s="152">
        <f>C26/0.55</f>
        <v>826.66666666666652</v>
      </c>
      <c r="E26" s="153">
        <v>2</v>
      </c>
      <c r="F26" s="153">
        <v>2</v>
      </c>
      <c r="G26" s="152">
        <f>'[4]Year 1'!G26/0.9</f>
        <v>75.3</v>
      </c>
      <c r="H26" s="152">
        <f>G26/0.55</f>
        <v>136.90909090909091</v>
      </c>
      <c r="I26" s="152">
        <f>'[4]Year 1'!I26/0.9</f>
        <v>73.12222222222222</v>
      </c>
      <c r="J26" s="152">
        <f>I26/0.55</f>
        <v>132.94949494949495</v>
      </c>
      <c r="K26" s="152">
        <f>'[4]Year 1'!K26/0.9</f>
        <v>185.17777777777778</v>
      </c>
      <c r="L26" s="152">
        <f>K26/0.55</f>
        <v>336.68686868686865</v>
      </c>
      <c r="M26" s="152">
        <f>'[4]Year 1'!M19/0.9</f>
        <v>121.06666666666666</v>
      </c>
      <c r="N26" s="152">
        <f>M26/0.55</f>
        <v>220.1212121212121</v>
      </c>
      <c r="O26" s="152">
        <f>D26</f>
        <v>826.66666666666652</v>
      </c>
      <c r="P26" s="156">
        <v>5</v>
      </c>
      <c r="Q26" s="157">
        <f>P26*E26</f>
        <v>10</v>
      </c>
      <c r="R26" s="465"/>
    </row>
    <row r="27" spans="2:18">
      <c r="B27" s="462" t="s">
        <v>233</v>
      </c>
      <c r="C27" s="152">
        <f>'[4]Year 1'!C27/0.9</f>
        <v>362.0555555555556</v>
      </c>
      <c r="D27" s="152">
        <f>C27/0.55</f>
        <v>658.28282828282829</v>
      </c>
      <c r="E27" s="153">
        <v>2</v>
      </c>
      <c r="F27" s="153">
        <v>2</v>
      </c>
      <c r="G27" s="152">
        <f>'[4]Year 1'!G27/0.9</f>
        <v>38.511111111111106</v>
      </c>
      <c r="H27" s="152">
        <f>G27/0.55</f>
        <v>70.020202020202007</v>
      </c>
      <c r="I27" s="152">
        <f>'[4]Year 1'!I27/0.9</f>
        <v>64.166666666666671</v>
      </c>
      <c r="J27" s="152">
        <f>I27/0.55</f>
        <v>116.66666666666667</v>
      </c>
      <c r="K27" s="152">
        <f>'[4]Year 1'!K27/0.9</f>
        <v>167.35555555555555</v>
      </c>
      <c r="L27" s="152">
        <f>K27/0.55</f>
        <v>304.28282828282823</v>
      </c>
      <c r="M27" s="152">
        <f>'[4]Year 1'!M20/0.9</f>
        <v>92.022222222222211</v>
      </c>
      <c r="N27" s="152">
        <f>M27/0.55</f>
        <v>167.31313131313129</v>
      </c>
      <c r="O27" s="152">
        <f>D27</f>
        <v>658.28282828282829</v>
      </c>
      <c r="P27" s="156">
        <v>5</v>
      </c>
      <c r="Q27" s="157">
        <f>P27*E27</f>
        <v>10</v>
      </c>
      <c r="R27" s="465"/>
    </row>
    <row r="28" spans="2:18">
      <c r="B28" s="459"/>
      <c r="C28" s="459"/>
      <c r="D28" s="459"/>
      <c r="E28" s="459"/>
      <c r="F28" s="459"/>
      <c r="G28" s="459"/>
      <c r="H28" s="459"/>
      <c r="I28" s="459"/>
      <c r="J28" s="459"/>
      <c r="K28" s="459"/>
      <c r="L28" s="459"/>
      <c r="M28" s="459"/>
      <c r="N28" s="459"/>
      <c r="O28" s="459"/>
      <c r="P28" s="155"/>
      <c r="Q28" s="465"/>
      <c r="R28" s="459"/>
    </row>
    <row r="29" spans="2:18" ht="15" customHeight="1" thickBot="1">
      <c r="B29" s="459"/>
      <c r="C29" s="459"/>
      <c r="D29" s="459"/>
      <c r="E29" s="459"/>
      <c r="F29" s="459"/>
      <c r="G29" s="459"/>
      <c r="H29" s="459"/>
      <c r="I29" s="459"/>
      <c r="J29" s="459"/>
      <c r="K29" s="459"/>
      <c r="L29" s="459"/>
      <c r="M29" s="459"/>
      <c r="N29" s="459"/>
      <c r="O29" s="459"/>
      <c r="P29" s="155"/>
      <c r="Q29" s="465"/>
      <c r="R29" s="459"/>
    </row>
    <row r="30" spans="2:18" ht="44.1" customHeight="1" thickBot="1">
      <c r="B30" s="427" t="s">
        <v>240</v>
      </c>
      <c r="C30" s="444"/>
      <c r="D30" s="444"/>
      <c r="E30" s="444"/>
      <c r="F30" s="460"/>
      <c r="G30" s="148" t="s">
        <v>217</v>
      </c>
      <c r="H30" s="148" t="s">
        <v>236</v>
      </c>
      <c r="I30" s="147" t="s">
        <v>237</v>
      </c>
      <c r="J30" s="147" t="s">
        <v>236</v>
      </c>
      <c r="K30" s="148" t="s">
        <v>220</v>
      </c>
      <c r="L30" s="148" t="s">
        <v>236</v>
      </c>
      <c r="M30" s="148" t="s">
        <v>221</v>
      </c>
      <c r="N30" s="148" t="s">
        <v>236</v>
      </c>
      <c r="O30" s="148" t="s">
        <v>223</v>
      </c>
      <c r="P30" s="148" t="s">
        <v>224</v>
      </c>
      <c r="Q30" s="219" t="s">
        <v>225</v>
      </c>
      <c r="R30" s="459"/>
    </row>
    <row r="31" spans="2:18">
      <c r="B31" s="149" t="s">
        <v>226</v>
      </c>
      <c r="C31" s="150" t="s">
        <v>227</v>
      </c>
      <c r="D31" s="150" t="s">
        <v>238</v>
      </c>
      <c r="E31" s="150" t="s">
        <v>229</v>
      </c>
      <c r="F31" s="150" t="s">
        <v>230</v>
      </c>
      <c r="G31" s="151"/>
      <c r="H31" s="151"/>
      <c r="I31" s="151"/>
      <c r="J31" s="151"/>
      <c r="K31" s="151"/>
      <c r="L31" s="151"/>
      <c r="M31" s="151"/>
      <c r="N31" s="151"/>
      <c r="O31" s="459"/>
      <c r="P31" s="155"/>
      <c r="Q31" s="465"/>
      <c r="R31" s="459"/>
    </row>
    <row r="32" spans="2:18">
      <c r="B32" s="462" t="s">
        <v>231</v>
      </c>
      <c r="C32" s="152">
        <f>'[4]Year 1'!C32/0.9</f>
        <v>373.43333333333328</v>
      </c>
      <c r="D32" s="152">
        <f>C32/0.55</f>
        <v>678.96969696969677</v>
      </c>
      <c r="E32" s="153">
        <v>2</v>
      </c>
      <c r="F32" s="153">
        <v>2</v>
      </c>
      <c r="G32" s="152">
        <f>'[4]Year 1'!G32/0.9</f>
        <v>37.655555555555559</v>
      </c>
      <c r="H32" s="152">
        <f>G32/0.55</f>
        <v>68.464646464646464</v>
      </c>
      <c r="I32" s="152">
        <f>'[4]Year 1'!I32/0.9</f>
        <v>29.544444444444444</v>
      </c>
      <c r="J32" s="152">
        <f>I32/0.55</f>
        <v>53.717171717171709</v>
      </c>
      <c r="K32" s="152">
        <f>'[4]Year 1'!K32/0.9</f>
        <v>185.17777777777778</v>
      </c>
      <c r="L32" s="152">
        <f>K32/0.55</f>
        <v>336.68686868686865</v>
      </c>
      <c r="M32" s="152">
        <f>'[4]Year 1'!M32/0.9</f>
        <v>121.06666666666666</v>
      </c>
      <c r="N32" s="152">
        <f>M32/0.55</f>
        <v>220.1212121212121</v>
      </c>
      <c r="O32" s="463">
        <f>D32</f>
        <v>678.96969696969677</v>
      </c>
      <c r="P32" s="154">
        <v>45</v>
      </c>
      <c r="Q32" s="464">
        <f>P32*E32</f>
        <v>90</v>
      </c>
      <c r="R32" s="465"/>
    </row>
    <row r="33" spans="2:18">
      <c r="B33" s="462" t="s">
        <v>232</v>
      </c>
      <c r="C33" s="152">
        <f>'[4]Year 1'!C33/0.9</f>
        <v>373.43333333333328</v>
      </c>
      <c r="D33" s="152">
        <f>C33/0.55</f>
        <v>678.96969696969677</v>
      </c>
      <c r="E33" s="153">
        <v>2</v>
      </c>
      <c r="F33" s="153">
        <v>2</v>
      </c>
      <c r="G33" s="152">
        <f>'[4]Year 1'!G33/0.9</f>
        <v>37.655555555555559</v>
      </c>
      <c r="H33" s="152">
        <f>G33/0.55</f>
        <v>68.464646464646464</v>
      </c>
      <c r="I33" s="152">
        <f>'[4]Year 1'!I33/0.9</f>
        <v>29.544444444444444</v>
      </c>
      <c r="J33" s="152">
        <f>I33/0.55</f>
        <v>53.717171717171709</v>
      </c>
      <c r="K33" s="152">
        <f>'[4]Year 1'!K33/0.9</f>
        <v>185.17777777777778</v>
      </c>
      <c r="L33" s="152">
        <f>K33/0.55</f>
        <v>336.68686868686865</v>
      </c>
      <c r="M33" s="152">
        <f>'[4]Year 1'!M33/0.9</f>
        <v>121.06666666666666</v>
      </c>
      <c r="N33" s="152">
        <f>M33/0.55</f>
        <v>220.1212121212121</v>
      </c>
      <c r="O33" s="463">
        <f>D33</f>
        <v>678.96969696969677</v>
      </c>
      <c r="P33" s="154">
        <v>5</v>
      </c>
      <c r="Q33" s="464">
        <f>P33*E33</f>
        <v>10</v>
      </c>
      <c r="R33" s="465"/>
    </row>
    <row r="34" spans="2:18">
      <c r="B34" s="462" t="s">
        <v>233</v>
      </c>
      <c r="C34" s="152">
        <f>'[4]Year 1'!C34/0.9</f>
        <v>303.7</v>
      </c>
      <c r="D34" s="152">
        <f>C34/0.55</f>
        <v>552.18181818181813</v>
      </c>
      <c r="E34" s="153">
        <v>2</v>
      </c>
      <c r="F34" s="153">
        <v>2</v>
      </c>
      <c r="G34" s="152">
        <f>'[4]Year 1'!G34/0.9</f>
        <v>19.255555555555553</v>
      </c>
      <c r="H34" s="152">
        <f>G34/0.55</f>
        <v>35.010101010101003</v>
      </c>
      <c r="I34" s="152">
        <f>'[4]Year 1'!I34/0.9</f>
        <v>25.066666666666663</v>
      </c>
      <c r="J34" s="152">
        <v>150.62</v>
      </c>
      <c r="K34" s="152">
        <f>'[4]Year 1'!K34/0.9</f>
        <v>167.35555555555555</v>
      </c>
      <c r="L34" s="152">
        <f>K34/0.55</f>
        <v>304.28282828282823</v>
      </c>
      <c r="M34" s="152">
        <f>'[4]Year 1'!M34/0.9</f>
        <v>92.022222222222211</v>
      </c>
      <c r="N34" s="152">
        <f>M34/0.55</f>
        <v>167.31313131313129</v>
      </c>
      <c r="O34" s="463">
        <f>D34</f>
        <v>552.18181818181813</v>
      </c>
      <c r="P34" s="154">
        <v>5</v>
      </c>
      <c r="Q34" s="464">
        <f>P34*E34</f>
        <v>10</v>
      </c>
      <c r="R34" s="465"/>
    </row>
    <row r="35" spans="2:18" ht="15" customHeight="1" thickBot="1">
      <c r="B35" s="459"/>
      <c r="C35" s="459"/>
      <c r="D35" s="459"/>
      <c r="E35" s="459"/>
      <c r="F35" s="459"/>
      <c r="G35" s="459"/>
      <c r="H35" s="459"/>
      <c r="I35" s="459"/>
      <c r="J35" s="459"/>
      <c r="K35" s="459"/>
      <c r="L35" s="459"/>
      <c r="M35" s="459"/>
      <c r="N35" s="459"/>
      <c r="O35" s="459"/>
      <c r="P35" s="155"/>
      <c r="Q35" s="465"/>
      <c r="R35" s="459"/>
    </row>
    <row r="36" spans="2:18" ht="44.1" customHeight="1" thickBot="1">
      <c r="B36" s="427" t="s">
        <v>241</v>
      </c>
      <c r="C36" s="444"/>
      <c r="D36" s="444"/>
      <c r="E36" s="444"/>
      <c r="F36" s="460"/>
      <c r="G36" s="148" t="s">
        <v>217</v>
      </c>
      <c r="H36" s="148" t="s">
        <v>236</v>
      </c>
      <c r="I36" s="147" t="s">
        <v>237</v>
      </c>
      <c r="J36" s="147" t="s">
        <v>236</v>
      </c>
      <c r="K36" s="148" t="s">
        <v>220</v>
      </c>
      <c r="L36" s="148" t="s">
        <v>236</v>
      </c>
      <c r="M36" s="148" t="s">
        <v>221</v>
      </c>
      <c r="N36" s="148" t="s">
        <v>236</v>
      </c>
      <c r="O36" s="148" t="s">
        <v>223</v>
      </c>
      <c r="P36" s="148" t="s">
        <v>224</v>
      </c>
      <c r="Q36" s="219" t="s">
        <v>225</v>
      </c>
      <c r="R36" s="459"/>
    </row>
    <row r="37" spans="2:18">
      <c r="B37" s="149" t="s">
        <v>226</v>
      </c>
      <c r="C37" s="150" t="s">
        <v>227</v>
      </c>
      <c r="D37" s="150" t="s">
        <v>238</v>
      </c>
      <c r="E37" s="150" t="s">
        <v>229</v>
      </c>
      <c r="F37" s="150" t="s">
        <v>230</v>
      </c>
      <c r="G37" s="151"/>
      <c r="H37" s="151"/>
      <c r="I37" s="151"/>
      <c r="J37" s="151"/>
      <c r="K37" s="151"/>
      <c r="L37" s="151"/>
      <c r="M37" s="151"/>
      <c r="N37" s="151"/>
      <c r="O37" s="459"/>
      <c r="P37" s="155"/>
      <c r="Q37" s="465"/>
      <c r="R37" s="459"/>
    </row>
    <row r="38" spans="2:18">
      <c r="B38" s="462" t="s">
        <v>231</v>
      </c>
      <c r="C38" s="152">
        <f>'[4]Year 1'!C39/0.9</f>
        <v>613.37777777777774</v>
      </c>
      <c r="D38" s="152">
        <f>C38/0.55</f>
        <v>1115.2323232323231</v>
      </c>
      <c r="E38" s="153">
        <v>2</v>
      </c>
      <c r="F38" s="153">
        <v>2</v>
      </c>
      <c r="G38" s="152">
        <f>'[4]Year 1'!G39/0.9</f>
        <v>112.95555555555555</v>
      </c>
      <c r="H38" s="152">
        <f>G38/0.55</f>
        <v>205.37373737373736</v>
      </c>
      <c r="I38" s="152">
        <f>'[4]Year 1'!I39/0.9</f>
        <v>194.17777777777775</v>
      </c>
      <c r="J38" s="152">
        <f>I38/0.55</f>
        <v>353.05050505050497</v>
      </c>
      <c r="K38" s="152">
        <f>'[4]Year 1'!K39/0.9</f>
        <v>185.17777777777778</v>
      </c>
      <c r="L38" s="152">
        <f>K38/0.55</f>
        <v>336.68686868686865</v>
      </c>
      <c r="M38" s="152">
        <f>'[4]Year 1'!M39/0.9</f>
        <v>121.06666666666666</v>
      </c>
      <c r="N38" s="152">
        <f>M38/0.55</f>
        <v>220.1212121212121</v>
      </c>
      <c r="O38" s="152">
        <f>D38</f>
        <v>1115.2323232323231</v>
      </c>
      <c r="P38" s="155">
        <v>0</v>
      </c>
      <c r="Q38" s="465">
        <f>P38*E38</f>
        <v>0</v>
      </c>
      <c r="R38" s="465"/>
    </row>
    <row r="39" spans="2:18">
      <c r="B39" s="462" t="s">
        <v>232</v>
      </c>
      <c r="C39" s="152">
        <f>'[4]Year 1'!C40/0.9</f>
        <v>613.37777777777774</v>
      </c>
      <c r="D39" s="152">
        <f>C39/0.55</f>
        <v>1115.2323232323231</v>
      </c>
      <c r="E39" s="153">
        <v>2</v>
      </c>
      <c r="F39" s="153">
        <v>2</v>
      </c>
      <c r="G39" s="152">
        <f>'[4]Year 1'!G40/0.9</f>
        <v>112.95555555555555</v>
      </c>
      <c r="H39" s="152">
        <f>G39/0.55</f>
        <v>205.37373737373736</v>
      </c>
      <c r="I39" s="152">
        <f>'[4]Year 1'!I40/0.9</f>
        <v>194.17777777777775</v>
      </c>
      <c r="J39" s="152">
        <f>I39/0.55</f>
        <v>353.05050505050497</v>
      </c>
      <c r="K39" s="152">
        <f>'[4]Year 1'!K40/0.9</f>
        <v>185.17777777777778</v>
      </c>
      <c r="L39" s="152">
        <f>K39/0.55</f>
        <v>336.68686868686865</v>
      </c>
      <c r="M39" s="152">
        <f>'[4]Year 1'!M40/0.9</f>
        <v>121.06666666666666</v>
      </c>
      <c r="N39" s="152">
        <f>M39/0.55</f>
        <v>220.1212121212121</v>
      </c>
      <c r="O39" s="152">
        <f>D39</f>
        <v>1115.2323232323231</v>
      </c>
      <c r="P39" s="155">
        <v>0</v>
      </c>
      <c r="Q39" s="465">
        <f>P39*E39</f>
        <v>0</v>
      </c>
      <c r="R39" s="465"/>
    </row>
    <row r="40" spans="2:18">
      <c r="B40" s="462" t="s">
        <v>233</v>
      </c>
      <c r="C40" s="152">
        <f>'[4]Year 1'!C41/0.9</f>
        <v>475.5</v>
      </c>
      <c r="D40" s="152">
        <f>C40/0.55</f>
        <v>864.5454545454545</v>
      </c>
      <c r="E40" s="153">
        <v>2</v>
      </c>
      <c r="F40" s="153">
        <v>2</v>
      </c>
      <c r="G40" s="152">
        <f>'[4]Year 1'!G41/0.9</f>
        <v>57.766666666666666</v>
      </c>
      <c r="H40" s="152">
        <f>G40/0.55</f>
        <v>105.03030303030302</v>
      </c>
      <c r="I40" s="152">
        <f>'[4]Year 1'!I41/0.9</f>
        <v>158.35555555555555</v>
      </c>
      <c r="J40" s="152">
        <f>I40/0.55</f>
        <v>287.91919191919192</v>
      </c>
      <c r="K40" s="152">
        <f>'[4]Year 1'!K41/0.9</f>
        <v>167.35555555555555</v>
      </c>
      <c r="L40" s="152">
        <f>K40/0.55</f>
        <v>304.28282828282823</v>
      </c>
      <c r="M40" s="152">
        <f>'[4]Year 1'!M41/0.9</f>
        <v>92.022222222222211</v>
      </c>
      <c r="N40" s="152">
        <f>M40/0.55</f>
        <v>167.31313131313129</v>
      </c>
      <c r="O40" s="152">
        <f>D40</f>
        <v>864.5454545454545</v>
      </c>
      <c r="P40" s="155">
        <v>0</v>
      </c>
      <c r="Q40" s="465">
        <f>P40*E40</f>
        <v>0</v>
      </c>
      <c r="R40" s="465"/>
    </row>
  </sheetData>
  <mergeCells count="6">
    <mergeCell ref="B30:F30"/>
    <mergeCell ref="B16:F16"/>
    <mergeCell ref="B2:F2"/>
    <mergeCell ref="B23:F23"/>
    <mergeCell ref="B36:F36"/>
    <mergeCell ref="B9:F9"/>
  </mergeCells>
  <pageMargins left="0.7" right="0.7" top="0.75" bottom="0.75" header="0.3" footer="0.3"/>
  <headerFooter>
    <oddFooter>&amp;C&amp;"Calibri"&amp;10 &amp;KFF0000_x000D_# RESTRICTED_x000D_&amp;1#&amp;"Calibri"&amp;10&amp;K008000 GENERAL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S45"/>
  <sheetViews>
    <sheetView showGridLines="0" workbookViewId="0"/>
  </sheetViews>
  <sheetFormatPr defaultColWidth="9" defaultRowHeight="14.45"/>
  <cols>
    <col min="1" max="1" width="16.375" style="92" customWidth="1"/>
    <col min="2" max="9" width="14.375" style="97" customWidth="1"/>
    <col min="10" max="10" width="18" style="97" customWidth="1"/>
    <col min="11" max="19" width="14.375" style="97" customWidth="1"/>
    <col min="20" max="20" width="9" style="92" customWidth="1"/>
    <col min="21" max="16384" width="9" style="92"/>
  </cols>
  <sheetData>
    <row r="1" spans="1:19" ht="31.5" customHeight="1">
      <c r="A1" s="466"/>
      <c r="B1" s="429" t="s">
        <v>242</v>
      </c>
      <c r="C1" s="437"/>
      <c r="D1" s="437"/>
      <c r="E1" s="437"/>
      <c r="F1" s="437"/>
      <c r="G1" s="437"/>
      <c r="H1" s="437"/>
      <c r="I1" s="437"/>
      <c r="J1" s="432"/>
      <c r="K1" s="430" t="s">
        <v>243</v>
      </c>
      <c r="L1" s="437"/>
      <c r="M1" s="437"/>
      <c r="N1" s="437"/>
      <c r="O1" s="437"/>
      <c r="P1" s="432"/>
      <c r="Q1" s="94"/>
      <c r="R1" s="94"/>
      <c r="S1" s="94"/>
    </row>
    <row r="2" spans="1:19" s="93" customFormat="1" ht="57.95" customHeight="1">
      <c r="A2" s="95" t="s">
        <v>244</v>
      </c>
      <c r="B2" s="96" t="s">
        <v>245</v>
      </c>
      <c r="C2" s="96" t="s">
        <v>246</v>
      </c>
      <c r="D2" s="96" t="s">
        <v>247</v>
      </c>
      <c r="E2" s="96" t="s">
        <v>248</v>
      </c>
      <c r="F2" s="96" t="s">
        <v>249</v>
      </c>
      <c r="G2" s="96" t="s">
        <v>250</v>
      </c>
      <c r="H2" s="125" t="s">
        <v>251</v>
      </c>
      <c r="I2" s="96" t="s">
        <v>252</v>
      </c>
      <c r="J2" s="96" t="s">
        <v>253</v>
      </c>
      <c r="K2" s="96" t="s">
        <v>245</v>
      </c>
      <c r="L2" s="96" t="s">
        <v>246</v>
      </c>
      <c r="M2" s="96" t="s">
        <v>247</v>
      </c>
      <c r="N2" s="96" t="s">
        <v>248</v>
      </c>
      <c r="O2" s="96" t="s">
        <v>249</v>
      </c>
      <c r="P2" s="96" t="s">
        <v>250</v>
      </c>
      <c r="Q2" s="125" t="s">
        <v>251</v>
      </c>
      <c r="R2" s="96" t="s">
        <v>252</v>
      </c>
      <c r="S2" s="96" t="s">
        <v>253</v>
      </c>
    </row>
    <row r="3" spans="1:19">
      <c r="A3" s="467" t="s">
        <v>254</v>
      </c>
      <c r="B3" s="468">
        <v>6127.0644759206798</v>
      </c>
      <c r="C3" s="468">
        <v>4675.0226855524088</v>
      </c>
      <c r="D3" s="468">
        <v>3676.2386855524078</v>
      </c>
      <c r="E3" s="468">
        <v>2927.150685552408</v>
      </c>
      <c r="F3" s="468">
        <v>1951.433790368272</v>
      </c>
      <c r="G3" s="468">
        <v>1951.433790368272</v>
      </c>
      <c r="H3" s="126">
        <f t="shared" ref="H3:H45" si="0">E3</f>
        <v>2927.150685552408</v>
      </c>
      <c r="I3" s="468">
        <v>1386</v>
      </c>
      <c r="J3" s="468">
        <v>666</v>
      </c>
      <c r="K3" s="468">
        <v>7613.1444759206797</v>
      </c>
      <c r="L3" s="468">
        <v>5863.8866855524084</v>
      </c>
      <c r="M3" s="468">
        <v>4567.8866855524084</v>
      </c>
      <c r="N3" s="468">
        <v>3595.8866855524079</v>
      </c>
      <c r="O3" s="468">
        <v>2397.2577903682718</v>
      </c>
      <c r="P3" s="468">
        <v>2397.2577903682718</v>
      </c>
      <c r="Q3" s="126">
        <f t="shared" ref="Q3:Q45" si="1">N3</f>
        <v>3595.8866855524079</v>
      </c>
      <c r="R3" s="468">
        <v>1806</v>
      </c>
      <c r="S3" s="468">
        <v>834</v>
      </c>
    </row>
    <row r="4" spans="1:19" s="130" customFormat="1">
      <c r="A4" s="127" t="s">
        <v>255</v>
      </c>
      <c r="B4" s="128">
        <v>6127.0644759206798</v>
      </c>
      <c r="C4" s="128">
        <v>4675.0226855524088</v>
      </c>
      <c r="D4" s="128">
        <v>3676.2386855524078</v>
      </c>
      <c r="E4" s="128">
        <v>2927.150685552408</v>
      </c>
      <c r="F4" s="128">
        <v>1951.433790368272</v>
      </c>
      <c r="G4" s="128">
        <v>1951.433790368272</v>
      </c>
      <c r="H4" s="129">
        <f t="shared" si="0"/>
        <v>2927.150685552408</v>
      </c>
      <c r="I4" s="128">
        <v>1386</v>
      </c>
      <c r="J4" s="128">
        <v>666</v>
      </c>
      <c r="K4" s="128">
        <v>7613.1444759206797</v>
      </c>
      <c r="L4" s="128">
        <v>5863.8866855524084</v>
      </c>
      <c r="M4" s="128">
        <v>4567.8866855524084</v>
      </c>
      <c r="N4" s="128">
        <v>3595.8866855524079</v>
      </c>
      <c r="O4" s="128">
        <v>2397.2577903682718</v>
      </c>
      <c r="P4" s="128">
        <v>2397.2577903682718</v>
      </c>
      <c r="Q4" s="129">
        <f t="shared" si="1"/>
        <v>3595.8866855524079</v>
      </c>
      <c r="R4" s="128">
        <v>1806</v>
      </c>
      <c r="S4" s="128">
        <v>834</v>
      </c>
    </row>
    <row r="5" spans="1:19">
      <c r="A5" s="467" t="s">
        <v>256</v>
      </c>
      <c r="B5" s="468">
        <v>6127.0644759206798</v>
      </c>
      <c r="C5" s="468">
        <v>4675.0226855524088</v>
      </c>
      <c r="D5" s="468">
        <v>3676.2386855524078</v>
      </c>
      <c r="E5" s="468">
        <v>2927.150685552408</v>
      </c>
      <c r="F5" s="468">
        <v>1951.433790368272</v>
      </c>
      <c r="G5" s="468">
        <v>1951.433790368272</v>
      </c>
      <c r="H5" s="126">
        <f t="shared" si="0"/>
        <v>2927.150685552408</v>
      </c>
      <c r="I5" s="468">
        <v>1386</v>
      </c>
      <c r="J5" s="468">
        <v>666</v>
      </c>
      <c r="K5" s="468">
        <v>7613.1444759206797</v>
      </c>
      <c r="L5" s="468">
        <v>5863.8866855524084</v>
      </c>
      <c r="M5" s="468">
        <v>4567.8866855524084</v>
      </c>
      <c r="N5" s="468">
        <v>3595.8866855524079</v>
      </c>
      <c r="O5" s="468">
        <v>2397.2577903682718</v>
      </c>
      <c r="P5" s="468">
        <v>2397.2577903682718</v>
      </c>
      <c r="Q5" s="126">
        <f t="shared" si="1"/>
        <v>3595.8866855524079</v>
      </c>
      <c r="R5" s="468">
        <v>1806</v>
      </c>
      <c r="S5" s="468">
        <v>834</v>
      </c>
    </row>
    <row r="6" spans="1:19">
      <c r="A6" s="467" t="s">
        <v>257</v>
      </c>
      <c r="B6" s="468">
        <v>6127.0644759206798</v>
      </c>
      <c r="C6" s="468">
        <v>4675.0226855524088</v>
      </c>
      <c r="D6" s="468">
        <v>3676.2386855524078</v>
      </c>
      <c r="E6" s="468">
        <v>2927.150685552408</v>
      </c>
      <c r="F6" s="468">
        <v>1951.433790368272</v>
      </c>
      <c r="G6" s="468">
        <v>1951.433790368272</v>
      </c>
      <c r="H6" s="126">
        <f t="shared" si="0"/>
        <v>2927.150685552408</v>
      </c>
      <c r="I6" s="468">
        <v>1386</v>
      </c>
      <c r="J6" s="468">
        <v>666</v>
      </c>
      <c r="K6" s="468">
        <v>7613.1444759206797</v>
      </c>
      <c r="L6" s="468">
        <v>5863.8866855524084</v>
      </c>
      <c r="M6" s="468">
        <v>4567.8866855524084</v>
      </c>
      <c r="N6" s="468">
        <v>3595.8866855524079</v>
      </c>
      <c r="O6" s="468">
        <v>2397.2577903682718</v>
      </c>
      <c r="P6" s="468">
        <v>2397.2577903682718</v>
      </c>
      <c r="Q6" s="126">
        <f t="shared" si="1"/>
        <v>3595.8866855524079</v>
      </c>
      <c r="R6" s="468">
        <v>1806</v>
      </c>
      <c r="S6" s="468">
        <v>834</v>
      </c>
    </row>
    <row r="7" spans="1:19">
      <c r="A7" s="467" t="s">
        <v>258</v>
      </c>
      <c r="B7" s="468">
        <v>4628.8884759206803</v>
      </c>
      <c r="C7" s="468">
        <v>3476.4818855524081</v>
      </c>
      <c r="D7" s="468">
        <v>2777.3330855524082</v>
      </c>
      <c r="E7" s="468">
        <v>2252.971485552408</v>
      </c>
      <c r="F7" s="468">
        <v>1501.9809903682719</v>
      </c>
      <c r="G7" s="468">
        <v>1501.9809903682719</v>
      </c>
      <c r="H7" s="126">
        <f t="shared" si="0"/>
        <v>2252.971485552408</v>
      </c>
      <c r="I7" s="468">
        <v>1026</v>
      </c>
      <c r="J7" s="468">
        <v>522</v>
      </c>
      <c r="K7" s="468">
        <v>5669.1444759206797</v>
      </c>
      <c r="L7" s="468">
        <v>4308.6866855524077</v>
      </c>
      <c r="M7" s="468">
        <v>3401.4866855524078</v>
      </c>
      <c r="N7" s="468">
        <v>2721.0866855524082</v>
      </c>
      <c r="O7" s="468">
        <v>1814.057790368272</v>
      </c>
      <c r="P7" s="468">
        <v>1814.057790368272</v>
      </c>
      <c r="Q7" s="126">
        <f t="shared" si="1"/>
        <v>2721.0866855524082</v>
      </c>
      <c r="R7" s="468">
        <v>1320</v>
      </c>
      <c r="S7" s="468">
        <v>639.6</v>
      </c>
    </row>
    <row r="8" spans="1:19">
      <c r="A8" s="467" t="s">
        <v>259</v>
      </c>
      <c r="B8" s="468">
        <v>7625.2404759206802</v>
      </c>
      <c r="C8" s="468">
        <v>5873.5634855524077</v>
      </c>
      <c r="D8" s="468">
        <v>4575.1442855524074</v>
      </c>
      <c r="E8" s="468">
        <v>3601.3298855524081</v>
      </c>
      <c r="F8" s="468">
        <v>2400.8865903682722</v>
      </c>
      <c r="G8" s="468">
        <v>2400.8865903682722</v>
      </c>
      <c r="H8" s="126">
        <f t="shared" si="0"/>
        <v>3601.3298855524081</v>
      </c>
      <c r="I8" s="468">
        <v>1746</v>
      </c>
      <c r="J8" s="468">
        <v>810</v>
      </c>
      <c r="K8" s="468">
        <v>9557.1444759206806</v>
      </c>
      <c r="L8" s="468">
        <v>7419.0866855524091</v>
      </c>
      <c r="M8" s="468">
        <v>5734.286685552408</v>
      </c>
      <c r="N8" s="468">
        <v>4470.6866855524077</v>
      </c>
      <c r="O8" s="468">
        <v>2980.4577903682721</v>
      </c>
      <c r="P8" s="468">
        <v>2980.4577903682721</v>
      </c>
      <c r="Q8" s="126">
        <f t="shared" si="1"/>
        <v>4470.6866855524077</v>
      </c>
      <c r="R8" s="468">
        <v>2292</v>
      </c>
      <c r="S8" s="468">
        <v>1028.4000000000001</v>
      </c>
    </row>
    <row r="9" spans="1:19">
      <c r="A9" s="467" t="s">
        <v>260</v>
      </c>
      <c r="B9" s="468">
        <v>4628.8884759206803</v>
      </c>
      <c r="C9" s="468">
        <v>3476.4818855524081</v>
      </c>
      <c r="D9" s="468">
        <v>2777.3330855524082</v>
      </c>
      <c r="E9" s="468">
        <v>2252.971485552408</v>
      </c>
      <c r="F9" s="468">
        <v>1501.9809903682719</v>
      </c>
      <c r="G9" s="468">
        <v>1501.9809903682719</v>
      </c>
      <c r="H9" s="126">
        <f t="shared" si="0"/>
        <v>2252.971485552408</v>
      </c>
      <c r="I9" s="468">
        <v>1026</v>
      </c>
      <c r="J9" s="468">
        <v>522</v>
      </c>
      <c r="K9" s="468">
        <v>5669.1444759206797</v>
      </c>
      <c r="L9" s="468">
        <v>4308.6866855524077</v>
      </c>
      <c r="M9" s="468">
        <v>3401.4866855524078</v>
      </c>
      <c r="N9" s="468">
        <v>2721.0866855524082</v>
      </c>
      <c r="O9" s="468">
        <v>1814.057790368272</v>
      </c>
      <c r="P9" s="468">
        <v>1814.057790368272</v>
      </c>
      <c r="Q9" s="126">
        <f t="shared" si="1"/>
        <v>2721.0866855524082</v>
      </c>
      <c r="R9" s="468">
        <v>1320</v>
      </c>
      <c r="S9" s="468">
        <v>639.6</v>
      </c>
    </row>
    <row r="10" spans="1:19">
      <c r="A10" s="467" t="s">
        <v>261</v>
      </c>
      <c r="B10" s="468">
        <v>4628.8884759206803</v>
      </c>
      <c r="C10" s="468">
        <v>3476.4818855524081</v>
      </c>
      <c r="D10" s="468">
        <v>2777.3330855524082</v>
      </c>
      <c r="E10" s="468">
        <v>2252.971485552408</v>
      </c>
      <c r="F10" s="468">
        <v>1501.9809903682719</v>
      </c>
      <c r="G10" s="468">
        <v>1501.9809903682719</v>
      </c>
      <c r="H10" s="126">
        <f t="shared" si="0"/>
        <v>2252.971485552408</v>
      </c>
      <c r="I10" s="468">
        <v>1026</v>
      </c>
      <c r="J10" s="468">
        <v>522</v>
      </c>
      <c r="K10" s="468">
        <v>5669.1444759206797</v>
      </c>
      <c r="L10" s="468">
        <v>4308.6866855524077</v>
      </c>
      <c r="M10" s="468">
        <v>3401.4866855524078</v>
      </c>
      <c r="N10" s="468">
        <v>2721.0866855524082</v>
      </c>
      <c r="O10" s="468">
        <v>1814.057790368272</v>
      </c>
      <c r="P10" s="468">
        <v>1814.057790368272</v>
      </c>
      <c r="Q10" s="126">
        <f t="shared" si="1"/>
        <v>2721.0866855524082</v>
      </c>
      <c r="R10" s="468">
        <v>1320</v>
      </c>
      <c r="S10" s="468">
        <v>639.6</v>
      </c>
    </row>
    <row r="11" spans="1:19">
      <c r="A11" s="467" t="s">
        <v>262</v>
      </c>
      <c r="B11" s="468">
        <v>8624.0244759206798</v>
      </c>
      <c r="C11" s="468">
        <v>6672.5906855524081</v>
      </c>
      <c r="D11" s="468">
        <v>5174.4146855524086</v>
      </c>
      <c r="E11" s="468">
        <v>4050.7826855524081</v>
      </c>
      <c r="F11" s="468">
        <v>2700.5217903682719</v>
      </c>
      <c r="G11" s="468">
        <v>2700.5217903682719</v>
      </c>
      <c r="H11" s="126">
        <f t="shared" si="0"/>
        <v>4050.7826855524081</v>
      </c>
      <c r="I11" s="468">
        <v>1986</v>
      </c>
      <c r="J11" s="468">
        <v>906</v>
      </c>
      <c r="K11" s="468">
        <v>10853.144475920681</v>
      </c>
      <c r="L11" s="468">
        <v>8455.8866855524084</v>
      </c>
      <c r="M11" s="468">
        <v>6511.8866855524084</v>
      </c>
      <c r="N11" s="468">
        <v>5053.8866855524084</v>
      </c>
      <c r="O11" s="468">
        <v>3369.2577903682718</v>
      </c>
      <c r="P11" s="468">
        <v>3369.2577903682718</v>
      </c>
      <c r="Q11" s="126">
        <f t="shared" si="1"/>
        <v>5053.8866855524084</v>
      </c>
      <c r="R11" s="468">
        <v>2616</v>
      </c>
      <c r="S11" s="468">
        <v>1158</v>
      </c>
    </row>
    <row r="12" spans="1:19">
      <c r="A12" s="467" t="s">
        <v>263</v>
      </c>
      <c r="B12" s="468">
        <v>4878.5844759206793</v>
      </c>
      <c r="C12" s="468">
        <v>3676.2386855524078</v>
      </c>
      <c r="D12" s="468">
        <v>2927.150685552408</v>
      </c>
      <c r="E12" s="468">
        <v>2365.3346855524078</v>
      </c>
      <c r="F12" s="468">
        <v>1576.8897903682721</v>
      </c>
      <c r="G12" s="468">
        <v>1576.8897903682721</v>
      </c>
      <c r="H12" s="126">
        <f t="shared" si="0"/>
        <v>2365.3346855524078</v>
      </c>
      <c r="I12" s="468">
        <v>1086</v>
      </c>
      <c r="J12" s="468">
        <v>546</v>
      </c>
      <c r="K12" s="468">
        <v>5993.1444759206806</v>
      </c>
      <c r="L12" s="468">
        <v>4567.8866855524084</v>
      </c>
      <c r="M12" s="468">
        <v>3595.8866855524079</v>
      </c>
      <c r="N12" s="468">
        <v>2866.8866855524079</v>
      </c>
      <c r="O12" s="468">
        <v>1911.257790368272</v>
      </c>
      <c r="P12" s="468">
        <v>1911.257790368272</v>
      </c>
      <c r="Q12" s="126">
        <f t="shared" si="1"/>
        <v>2866.8866855524079</v>
      </c>
      <c r="R12" s="468">
        <v>1401</v>
      </c>
      <c r="S12" s="468">
        <v>672</v>
      </c>
    </row>
    <row r="13" spans="1:19">
      <c r="A13" s="467" t="s">
        <v>264</v>
      </c>
      <c r="B13" s="468">
        <v>7375.5444759206794</v>
      </c>
      <c r="C13" s="468">
        <v>5673.8066855524085</v>
      </c>
      <c r="D13" s="468">
        <v>4425.326685552408</v>
      </c>
      <c r="E13" s="468">
        <v>3488.9666855524079</v>
      </c>
      <c r="F13" s="468">
        <v>2325.9777903682721</v>
      </c>
      <c r="G13" s="468">
        <v>2325.9777903682721</v>
      </c>
      <c r="H13" s="126">
        <f t="shared" si="0"/>
        <v>3488.9666855524079</v>
      </c>
      <c r="I13" s="468">
        <v>1686</v>
      </c>
      <c r="J13" s="468">
        <v>786</v>
      </c>
      <c r="K13" s="468">
        <v>9233.1444759206806</v>
      </c>
      <c r="L13" s="468">
        <v>7159.8866855524084</v>
      </c>
      <c r="M13" s="468">
        <v>5539.8866855524084</v>
      </c>
      <c r="N13" s="468">
        <v>4324.8866855524084</v>
      </c>
      <c r="O13" s="468">
        <v>2883.2577903682718</v>
      </c>
      <c r="P13" s="468">
        <v>2883.2577903682718</v>
      </c>
      <c r="Q13" s="126">
        <f t="shared" si="1"/>
        <v>4324.8866855524084</v>
      </c>
      <c r="R13" s="468">
        <v>2211</v>
      </c>
      <c r="S13" s="468">
        <v>996</v>
      </c>
    </row>
    <row r="14" spans="1:19">
      <c r="A14" s="467" t="s">
        <v>265</v>
      </c>
      <c r="B14" s="468">
        <v>4628.8884759206803</v>
      </c>
      <c r="C14" s="468">
        <v>3476.4818855524081</v>
      </c>
      <c r="D14" s="468">
        <v>2777.3330855524082</v>
      </c>
      <c r="E14" s="468">
        <v>2252.971485552408</v>
      </c>
      <c r="F14" s="468">
        <v>1501.9809903682719</v>
      </c>
      <c r="G14" s="468">
        <v>1501.9809903682719</v>
      </c>
      <c r="H14" s="126">
        <f t="shared" si="0"/>
        <v>2252.971485552408</v>
      </c>
      <c r="I14" s="468">
        <v>1026</v>
      </c>
      <c r="J14" s="468">
        <v>522</v>
      </c>
      <c r="K14" s="468">
        <v>5669.1444759206797</v>
      </c>
      <c r="L14" s="468">
        <v>4308.6866855524077</v>
      </c>
      <c r="M14" s="468">
        <v>3401.4866855524078</v>
      </c>
      <c r="N14" s="468">
        <v>2721.0866855524082</v>
      </c>
      <c r="O14" s="468">
        <v>1814.057790368272</v>
      </c>
      <c r="P14" s="468">
        <v>1814.057790368272</v>
      </c>
      <c r="Q14" s="126">
        <f t="shared" si="1"/>
        <v>2721.0866855524082</v>
      </c>
      <c r="R14" s="468">
        <v>1320</v>
      </c>
      <c r="S14" s="468">
        <v>639.6</v>
      </c>
    </row>
    <row r="15" spans="1:19">
      <c r="A15" s="467" t="s">
        <v>266</v>
      </c>
      <c r="B15" s="468">
        <v>7125.8484759206794</v>
      </c>
      <c r="C15" s="468">
        <v>5474.0498855524074</v>
      </c>
      <c r="D15" s="468">
        <v>4275.5090855524086</v>
      </c>
      <c r="E15" s="468">
        <v>3376.6034855524081</v>
      </c>
      <c r="F15" s="468">
        <v>2251.0689903682719</v>
      </c>
      <c r="G15" s="468">
        <v>2251.0689903682719</v>
      </c>
      <c r="H15" s="126">
        <f t="shared" si="0"/>
        <v>3376.6034855524081</v>
      </c>
      <c r="I15" s="468">
        <v>1626</v>
      </c>
      <c r="J15" s="468">
        <v>762</v>
      </c>
      <c r="K15" s="468">
        <v>8909.1444759206806</v>
      </c>
      <c r="L15" s="468">
        <v>6900.6866855524077</v>
      </c>
      <c r="M15" s="468">
        <v>5345.4866855524087</v>
      </c>
      <c r="N15" s="468">
        <v>4179.0866855524082</v>
      </c>
      <c r="O15" s="468">
        <v>2786.057790368272</v>
      </c>
      <c r="P15" s="468">
        <v>2786.057790368272</v>
      </c>
      <c r="Q15" s="126">
        <f t="shared" si="1"/>
        <v>4179.0866855524082</v>
      </c>
      <c r="R15" s="468">
        <v>2130</v>
      </c>
      <c r="S15" s="468">
        <v>963.6</v>
      </c>
    </row>
    <row r="16" spans="1:19">
      <c r="A16" s="467" t="s">
        <v>267</v>
      </c>
      <c r="B16" s="468">
        <v>6127.0644759206798</v>
      </c>
      <c r="C16" s="468">
        <v>4675.0226855524088</v>
      </c>
      <c r="D16" s="468">
        <v>3676.2386855524078</v>
      </c>
      <c r="E16" s="468">
        <v>2927.150685552408</v>
      </c>
      <c r="F16" s="468">
        <v>1951.433790368272</v>
      </c>
      <c r="G16" s="468">
        <v>1951.433790368272</v>
      </c>
      <c r="H16" s="126">
        <f t="shared" si="0"/>
        <v>2927.150685552408</v>
      </c>
      <c r="I16" s="468">
        <v>1386</v>
      </c>
      <c r="J16" s="468">
        <v>666</v>
      </c>
      <c r="K16" s="468">
        <v>7613.1444759206797</v>
      </c>
      <c r="L16" s="468">
        <v>5863.8866855524084</v>
      </c>
      <c r="M16" s="468">
        <v>4567.8866855524084</v>
      </c>
      <c r="N16" s="468">
        <v>3595.8866855524079</v>
      </c>
      <c r="O16" s="468">
        <v>2397.2577903682718</v>
      </c>
      <c r="P16" s="468">
        <v>2397.2577903682718</v>
      </c>
      <c r="Q16" s="126">
        <f t="shared" si="1"/>
        <v>3595.8866855524079</v>
      </c>
      <c r="R16" s="468">
        <v>1806</v>
      </c>
      <c r="S16" s="468">
        <v>834</v>
      </c>
    </row>
    <row r="17" spans="1:19">
      <c r="A17" s="467" t="s">
        <v>268</v>
      </c>
      <c r="B17" s="468">
        <v>5377.9764759206801</v>
      </c>
      <c r="C17" s="468">
        <v>4075.752285552408</v>
      </c>
      <c r="D17" s="468">
        <v>3226.7858855524082</v>
      </c>
      <c r="E17" s="468">
        <v>2590.0610855524078</v>
      </c>
      <c r="F17" s="468">
        <v>1726.7073903682719</v>
      </c>
      <c r="G17" s="468">
        <v>1726.7073903682719</v>
      </c>
      <c r="H17" s="126">
        <f t="shared" si="0"/>
        <v>2590.0610855524078</v>
      </c>
      <c r="I17" s="468">
        <v>1206</v>
      </c>
      <c r="J17" s="468">
        <v>594</v>
      </c>
      <c r="K17" s="468">
        <v>6641.1444759206806</v>
      </c>
      <c r="L17" s="468">
        <v>5086.286685552408</v>
      </c>
      <c r="M17" s="468">
        <v>3984.6866855524081</v>
      </c>
      <c r="N17" s="468">
        <v>3158.4866855524078</v>
      </c>
      <c r="O17" s="468">
        <v>2105.6577903682719</v>
      </c>
      <c r="P17" s="468">
        <v>2105.6577903682719</v>
      </c>
      <c r="Q17" s="126">
        <f t="shared" si="1"/>
        <v>3158.4866855524078</v>
      </c>
      <c r="R17" s="468">
        <v>1563</v>
      </c>
      <c r="S17" s="468">
        <v>736.80000000000007</v>
      </c>
    </row>
    <row r="18" spans="1:19">
      <c r="A18" s="467" t="s">
        <v>269</v>
      </c>
      <c r="B18" s="468">
        <v>5128.2804759206801</v>
      </c>
      <c r="C18" s="468">
        <v>3875.9954855524079</v>
      </c>
      <c r="D18" s="468">
        <v>3076.9682855524079</v>
      </c>
      <c r="E18" s="468">
        <v>2477.697885552408</v>
      </c>
      <c r="F18" s="468">
        <v>1651.798590368272</v>
      </c>
      <c r="G18" s="468">
        <v>1651.798590368272</v>
      </c>
      <c r="H18" s="126">
        <f t="shared" si="0"/>
        <v>2477.697885552408</v>
      </c>
      <c r="I18" s="468">
        <v>1146</v>
      </c>
      <c r="J18" s="468">
        <v>570</v>
      </c>
      <c r="K18" s="468">
        <v>6317.1444759206806</v>
      </c>
      <c r="L18" s="468">
        <v>4827.0866855524091</v>
      </c>
      <c r="M18" s="468">
        <v>3790.286685552408</v>
      </c>
      <c r="N18" s="468">
        <v>3012.6866855524081</v>
      </c>
      <c r="O18" s="468">
        <v>2008.4577903682721</v>
      </c>
      <c r="P18" s="468">
        <v>2008.4577903682721</v>
      </c>
      <c r="Q18" s="126">
        <f t="shared" si="1"/>
        <v>3012.6866855524081</v>
      </c>
      <c r="R18" s="468">
        <v>1482</v>
      </c>
      <c r="S18" s="468">
        <v>704.40000000000009</v>
      </c>
    </row>
    <row r="19" spans="1:19">
      <c r="A19" s="467" t="s">
        <v>270</v>
      </c>
      <c r="B19" s="468">
        <v>4628.8884759206803</v>
      </c>
      <c r="C19" s="468">
        <v>3476.4818855524081</v>
      </c>
      <c r="D19" s="468">
        <v>2777.3330855524082</v>
      </c>
      <c r="E19" s="468">
        <v>2252.971485552408</v>
      </c>
      <c r="F19" s="468">
        <v>1501.9809903682719</v>
      </c>
      <c r="G19" s="468">
        <v>1501.9809903682719</v>
      </c>
      <c r="H19" s="126">
        <f t="shared" si="0"/>
        <v>2252.971485552408</v>
      </c>
      <c r="I19" s="468">
        <v>1026</v>
      </c>
      <c r="J19" s="468">
        <v>522</v>
      </c>
      <c r="K19" s="468">
        <v>5669.1444759206797</v>
      </c>
      <c r="L19" s="468">
        <v>4308.6866855524077</v>
      </c>
      <c r="M19" s="468">
        <v>3401.4866855524078</v>
      </c>
      <c r="N19" s="468">
        <v>2721.0866855524082</v>
      </c>
      <c r="O19" s="468">
        <v>1814.057790368272</v>
      </c>
      <c r="P19" s="468">
        <v>1814.057790368272</v>
      </c>
      <c r="Q19" s="126">
        <f t="shared" si="1"/>
        <v>2721.0866855524082</v>
      </c>
      <c r="R19" s="468">
        <v>1320</v>
      </c>
      <c r="S19" s="468">
        <v>639.6</v>
      </c>
    </row>
    <row r="20" spans="1:19">
      <c r="A20" s="467" t="s">
        <v>271</v>
      </c>
      <c r="B20" s="468">
        <v>5128.2804759206801</v>
      </c>
      <c r="C20" s="468">
        <v>3875.9954855524079</v>
      </c>
      <c r="D20" s="468">
        <v>3076.9682855524079</v>
      </c>
      <c r="E20" s="468">
        <v>2477.697885552408</v>
      </c>
      <c r="F20" s="468">
        <v>1651.798590368272</v>
      </c>
      <c r="G20" s="468">
        <v>1651.798590368272</v>
      </c>
      <c r="H20" s="126">
        <f t="shared" si="0"/>
        <v>2477.697885552408</v>
      </c>
      <c r="I20" s="468">
        <v>1146</v>
      </c>
      <c r="J20" s="468">
        <v>570</v>
      </c>
      <c r="K20" s="468">
        <v>6317.1444759206806</v>
      </c>
      <c r="L20" s="468">
        <v>4827.0866855524091</v>
      </c>
      <c r="M20" s="468">
        <v>3790.286685552408</v>
      </c>
      <c r="N20" s="468">
        <v>3012.6866855524081</v>
      </c>
      <c r="O20" s="468">
        <v>2008.4577903682721</v>
      </c>
      <c r="P20" s="468">
        <v>2008.4577903682721</v>
      </c>
      <c r="Q20" s="126">
        <f t="shared" si="1"/>
        <v>3012.6866855524081</v>
      </c>
      <c r="R20" s="468">
        <v>1482</v>
      </c>
      <c r="S20" s="468">
        <v>704.40000000000009</v>
      </c>
    </row>
    <row r="21" spans="1:19">
      <c r="A21" s="467" t="s">
        <v>272</v>
      </c>
      <c r="B21" s="468">
        <v>6127.0644759206798</v>
      </c>
      <c r="C21" s="468">
        <v>4675.0226855524088</v>
      </c>
      <c r="D21" s="468">
        <v>3676.2386855524078</v>
      </c>
      <c r="E21" s="468">
        <v>2927.150685552408</v>
      </c>
      <c r="F21" s="468">
        <v>1951.433790368272</v>
      </c>
      <c r="G21" s="468">
        <v>1951.433790368272</v>
      </c>
      <c r="H21" s="126">
        <f t="shared" si="0"/>
        <v>2927.150685552408</v>
      </c>
      <c r="I21" s="468">
        <v>1386</v>
      </c>
      <c r="J21" s="468">
        <v>666</v>
      </c>
      <c r="K21" s="468">
        <v>7613.1444759206797</v>
      </c>
      <c r="L21" s="468">
        <v>5863.8866855524084</v>
      </c>
      <c r="M21" s="468">
        <v>4567.8866855524084</v>
      </c>
      <c r="N21" s="468">
        <v>3595.8866855524079</v>
      </c>
      <c r="O21" s="468">
        <v>2397.2577903682718</v>
      </c>
      <c r="P21" s="468">
        <v>2397.2577903682718</v>
      </c>
      <c r="Q21" s="126">
        <f t="shared" si="1"/>
        <v>3595.8866855524079</v>
      </c>
      <c r="R21" s="468">
        <v>1806</v>
      </c>
      <c r="S21" s="468">
        <v>834</v>
      </c>
    </row>
    <row r="22" spans="1:19">
      <c r="A22" s="467" t="s">
        <v>273</v>
      </c>
      <c r="B22" s="468">
        <v>5128.2804759206801</v>
      </c>
      <c r="C22" s="468">
        <v>3875.9954855524079</v>
      </c>
      <c r="D22" s="468">
        <v>3076.9682855524079</v>
      </c>
      <c r="E22" s="468">
        <v>2477.697885552408</v>
      </c>
      <c r="F22" s="468">
        <v>1651.798590368272</v>
      </c>
      <c r="G22" s="468">
        <v>1651.798590368272</v>
      </c>
      <c r="H22" s="126">
        <f t="shared" si="0"/>
        <v>2477.697885552408</v>
      </c>
      <c r="I22" s="468">
        <v>1146</v>
      </c>
      <c r="J22" s="468">
        <v>570</v>
      </c>
      <c r="K22" s="468">
        <v>6317.1444759206806</v>
      </c>
      <c r="L22" s="468">
        <v>4827.0866855524091</v>
      </c>
      <c r="M22" s="468">
        <v>3790.286685552408</v>
      </c>
      <c r="N22" s="468">
        <v>3012.6866855524081</v>
      </c>
      <c r="O22" s="468">
        <v>2008.4577903682721</v>
      </c>
      <c r="P22" s="468">
        <v>2008.4577903682721</v>
      </c>
      <c r="Q22" s="126">
        <f t="shared" si="1"/>
        <v>3012.6866855524081</v>
      </c>
      <c r="R22" s="468">
        <v>1482</v>
      </c>
      <c r="S22" s="468">
        <v>704.40000000000009</v>
      </c>
    </row>
    <row r="23" spans="1:19">
      <c r="A23" s="467" t="s">
        <v>274</v>
      </c>
      <c r="B23" s="468">
        <v>5377.9764759206801</v>
      </c>
      <c r="C23" s="468">
        <v>4075.752285552408</v>
      </c>
      <c r="D23" s="468">
        <v>3226.7858855524082</v>
      </c>
      <c r="E23" s="468">
        <v>2590.0610855524078</v>
      </c>
      <c r="F23" s="468">
        <v>1726.7073903682719</v>
      </c>
      <c r="G23" s="468">
        <v>1726.7073903682719</v>
      </c>
      <c r="H23" s="126">
        <f t="shared" si="0"/>
        <v>2590.0610855524078</v>
      </c>
      <c r="I23" s="468">
        <v>1206</v>
      </c>
      <c r="J23" s="468">
        <v>594</v>
      </c>
      <c r="K23" s="468">
        <v>6641.1444759206806</v>
      </c>
      <c r="L23" s="468">
        <v>5086.286685552408</v>
      </c>
      <c r="M23" s="468">
        <v>3984.6866855524081</v>
      </c>
      <c r="N23" s="468">
        <v>3158.4866855524078</v>
      </c>
      <c r="O23" s="468">
        <v>2105.6577903682719</v>
      </c>
      <c r="P23" s="468">
        <v>2105.6577903682719</v>
      </c>
      <c r="Q23" s="126">
        <f t="shared" si="1"/>
        <v>3158.4866855524078</v>
      </c>
      <c r="R23" s="468">
        <v>1563</v>
      </c>
      <c r="S23" s="468">
        <v>736.80000000000007</v>
      </c>
    </row>
    <row r="24" spans="1:19">
      <c r="A24" s="467" t="s">
        <v>275</v>
      </c>
      <c r="B24" s="468">
        <v>8124.63247592068</v>
      </c>
      <c r="C24" s="468">
        <v>6273.0770855524079</v>
      </c>
      <c r="D24" s="468">
        <v>4874.779485552408</v>
      </c>
      <c r="E24" s="468">
        <v>3826.0562855524081</v>
      </c>
      <c r="F24" s="468">
        <v>2550.7041903682721</v>
      </c>
      <c r="G24" s="468">
        <v>2550.7041903682721</v>
      </c>
      <c r="H24" s="126">
        <f t="shared" si="0"/>
        <v>3826.0562855524081</v>
      </c>
      <c r="I24" s="468">
        <v>1866</v>
      </c>
      <c r="J24" s="468">
        <v>858</v>
      </c>
      <c r="K24" s="468">
        <v>10205.144475920681</v>
      </c>
      <c r="L24" s="468">
        <v>7937.4866855524087</v>
      </c>
      <c r="M24" s="468">
        <v>6123.0866855524091</v>
      </c>
      <c r="N24" s="468">
        <v>4762.286685552408</v>
      </c>
      <c r="O24" s="468">
        <v>3174.8577903682722</v>
      </c>
      <c r="P24" s="468">
        <v>3174.8577903682722</v>
      </c>
      <c r="Q24" s="126">
        <f t="shared" si="1"/>
        <v>4762.286685552408</v>
      </c>
      <c r="R24" s="468">
        <v>2454</v>
      </c>
      <c r="S24" s="468">
        <v>1093.2</v>
      </c>
    </row>
    <row r="25" spans="1:19">
      <c r="A25" s="467" t="s">
        <v>276</v>
      </c>
      <c r="B25" s="468">
        <v>7375.5444759206794</v>
      </c>
      <c r="C25" s="468">
        <v>5673.8066855524085</v>
      </c>
      <c r="D25" s="468">
        <v>4425.326685552408</v>
      </c>
      <c r="E25" s="468">
        <v>3488.9666855524079</v>
      </c>
      <c r="F25" s="468">
        <v>2325.9777903682721</v>
      </c>
      <c r="G25" s="468">
        <v>2325.9777903682721</v>
      </c>
      <c r="H25" s="126">
        <f t="shared" si="0"/>
        <v>3488.9666855524079</v>
      </c>
      <c r="I25" s="468">
        <v>1686</v>
      </c>
      <c r="J25" s="468">
        <v>786</v>
      </c>
      <c r="K25" s="468">
        <v>9233.1444759206806</v>
      </c>
      <c r="L25" s="468">
        <v>7159.8866855524084</v>
      </c>
      <c r="M25" s="468">
        <v>5539.8866855524084</v>
      </c>
      <c r="N25" s="468">
        <v>4324.8866855524084</v>
      </c>
      <c r="O25" s="468">
        <v>2883.2577903682718</v>
      </c>
      <c r="P25" s="468">
        <v>2883.2577903682718</v>
      </c>
      <c r="Q25" s="126">
        <f t="shared" si="1"/>
        <v>4324.8866855524084</v>
      </c>
      <c r="R25" s="468">
        <v>2211</v>
      </c>
      <c r="S25" s="468">
        <v>996</v>
      </c>
    </row>
    <row r="26" spans="1:19">
      <c r="A26" s="467" t="s">
        <v>277</v>
      </c>
      <c r="B26" s="468">
        <v>6626.4564759206814</v>
      </c>
      <c r="C26" s="468">
        <v>5074.536285552409</v>
      </c>
      <c r="D26" s="468">
        <v>3975.873885552408</v>
      </c>
      <c r="E26" s="468">
        <v>3151.877085552409</v>
      </c>
      <c r="F26" s="468">
        <v>2101.251390368272</v>
      </c>
      <c r="G26" s="468">
        <v>2101.251390368272</v>
      </c>
      <c r="H26" s="126">
        <f t="shared" si="0"/>
        <v>3151.877085552409</v>
      </c>
      <c r="I26" s="468">
        <v>1506</v>
      </c>
      <c r="J26" s="468">
        <v>714</v>
      </c>
      <c r="K26" s="468">
        <v>8261.1444759206806</v>
      </c>
      <c r="L26" s="468">
        <v>6382.286685552408</v>
      </c>
      <c r="M26" s="468">
        <v>4956.6866855524077</v>
      </c>
      <c r="N26" s="468">
        <v>3887.4866855524078</v>
      </c>
      <c r="O26" s="468">
        <v>2591.6577903682719</v>
      </c>
      <c r="P26" s="468">
        <v>2591.6577903682719</v>
      </c>
      <c r="Q26" s="126">
        <f t="shared" si="1"/>
        <v>3887.4866855524078</v>
      </c>
      <c r="R26" s="468">
        <v>1968</v>
      </c>
      <c r="S26" s="468">
        <v>898.80000000000007</v>
      </c>
    </row>
    <row r="27" spans="1:19">
      <c r="A27" s="467" t="s">
        <v>278</v>
      </c>
      <c r="B27" s="468">
        <v>5128.2804759206801</v>
      </c>
      <c r="C27" s="468">
        <v>3875.9954855524079</v>
      </c>
      <c r="D27" s="468">
        <v>3076.9682855524079</v>
      </c>
      <c r="E27" s="468">
        <v>2477.697885552408</v>
      </c>
      <c r="F27" s="468">
        <v>1651.798590368272</v>
      </c>
      <c r="G27" s="468">
        <v>1651.798590368272</v>
      </c>
      <c r="H27" s="126">
        <f t="shared" si="0"/>
        <v>2477.697885552408</v>
      </c>
      <c r="I27" s="468">
        <v>1146</v>
      </c>
      <c r="J27" s="468">
        <v>570</v>
      </c>
      <c r="K27" s="468">
        <v>6317.1444759206806</v>
      </c>
      <c r="L27" s="468">
        <v>4827.0866855524091</v>
      </c>
      <c r="M27" s="468">
        <v>3790.286685552408</v>
      </c>
      <c r="N27" s="468">
        <v>3012.6866855524081</v>
      </c>
      <c r="O27" s="468">
        <v>2008.4577903682721</v>
      </c>
      <c r="P27" s="468">
        <v>2008.4577903682721</v>
      </c>
      <c r="Q27" s="126">
        <f t="shared" si="1"/>
        <v>3012.6866855524081</v>
      </c>
      <c r="R27" s="468">
        <v>1482</v>
      </c>
      <c r="S27" s="468">
        <v>704.40000000000009</v>
      </c>
    </row>
    <row r="28" spans="1:19">
      <c r="A28" s="467" t="s">
        <v>279</v>
      </c>
      <c r="B28" s="468">
        <v>7375.5444759206794</v>
      </c>
      <c r="C28" s="468">
        <v>5673.8066855524085</v>
      </c>
      <c r="D28" s="468">
        <v>4425.326685552408</v>
      </c>
      <c r="E28" s="468">
        <v>3488.9666855524079</v>
      </c>
      <c r="F28" s="468">
        <v>2325.9777903682721</v>
      </c>
      <c r="G28" s="468">
        <v>2325.9777903682721</v>
      </c>
      <c r="H28" s="126">
        <f t="shared" si="0"/>
        <v>3488.9666855524079</v>
      </c>
      <c r="I28" s="468">
        <v>1686</v>
      </c>
      <c r="J28" s="468">
        <v>786</v>
      </c>
      <c r="K28" s="468">
        <v>9233.1444759206806</v>
      </c>
      <c r="L28" s="468">
        <v>7159.8866855524084</v>
      </c>
      <c r="M28" s="468">
        <v>5539.8866855524084</v>
      </c>
      <c r="N28" s="468">
        <v>4324.8866855524084</v>
      </c>
      <c r="O28" s="468">
        <v>2883.2577903682718</v>
      </c>
      <c r="P28" s="468">
        <v>2883.2577903682718</v>
      </c>
      <c r="Q28" s="126">
        <f t="shared" si="1"/>
        <v>4324.8866855524084</v>
      </c>
      <c r="R28" s="468">
        <v>2211</v>
      </c>
      <c r="S28" s="468">
        <v>996</v>
      </c>
    </row>
    <row r="29" spans="1:19">
      <c r="A29" s="467" t="s">
        <v>280</v>
      </c>
      <c r="B29" s="468">
        <v>6626.4564759206814</v>
      </c>
      <c r="C29" s="468">
        <v>5074.536285552409</v>
      </c>
      <c r="D29" s="468">
        <v>3975.873885552408</v>
      </c>
      <c r="E29" s="468">
        <v>3151.877085552409</v>
      </c>
      <c r="F29" s="468">
        <v>2101.251390368272</v>
      </c>
      <c r="G29" s="468">
        <v>2101.251390368272</v>
      </c>
      <c r="H29" s="126">
        <f t="shared" si="0"/>
        <v>3151.877085552409</v>
      </c>
      <c r="I29" s="468">
        <v>1506</v>
      </c>
      <c r="J29" s="468">
        <v>714</v>
      </c>
      <c r="K29" s="468">
        <v>8261.1444759206806</v>
      </c>
      <c r="L29" s="468">
        <v>6382.286685552408</v>
      </c>
      <c r="M29" s="468">
        <v>4956.6866855524077</v>
      </c>
      <c r="N29" s="468">
        <v>3887.4866855524078</v>
      </c>
      <c r="O29" s="468">
        <v>2591.6577903682719</v>
      </c>
      <c r="P29" s="468">
        <v>2591.6577903682719</v>
      </c>
      <c r="Q29" s="126">
        <f t="shared" si="1"/>
        <v>3887.4866855524078</v>
      </c>
      <c r="R29" s="468">
        <v>1968</v>
      </c>
      <c r="S29" s="468">
        <v>898.80000000000007</v>
      </c>
    </row>
    <row r="30" spans="1:19">
      <c r="A30" s="467" t="s">
        <v>281</v>
      </c>
      <c r="B30" s="468">
        <v>4628.8884759206803</v>
      </c>
      <c r="C30" s="468">
        <v>3476.4818855524081</v>
      </c>
      <c r="D30" s="468">
        <v>2777.3330855524082</v>
      </c>
      <c r="E30" s="468">
        <v>2252.971485552408</v>
      </c>
      <c r="F30" s="468">
        <v>1501.9809903682719</v>
      </c>
      <c r="G30" s="468">
        <v>1501.9809903682719</v>
      </c>
      <c r="H30" s="126">
        <f t="shared" si="0"/>
        <v>2252.971485552408</v>
      </c>
      <c r="I30" s="468">
        <v>1026</v>
      </c>
      <c r="J30" s="468">
        <v>522</v>
      </c>
      <c r="K30" s="468">
        <v>5669.1444759206797</v>
      </c>
      <c r="L30" s="468">
        <v>4308.6866855524077</v>
      </c>
      <c r="M30" s="468">
        <v>3401.4866855524078</v>
      </c>
      <c r="N30" s="468">
        <v>2721.0866855524082</v>
      </c>
      <c r="O30" s="468">
        <v>1814.057790368272</v>
      </c>
      <c r="P30" s="468">
        <v>1814.057790368272</v>
      </c>
      <c r="Q30" s="126">
        <f t="shared" si="1"/>
        <v>2721.0866855524082</v>
      </c>
      <c r="R30" s="468">
        <v>1320</v>
      </c>
      <c r="S30" s="468">
        <v>639.6</v>
      </c>
    </row>
    <row r="31" spans="1:19">
      <c r="A31" s="467" t="s">
        <v>282</v>
      </c>
      <c r="B31" s="468">
        <v>6127.0644759206798</v>
      </c>
      <c r="C31" s="468">
        <v>4675.0226855524088</v>
      </c>
      <c r="D31" s="468">
        <v>3676.2386855524078</v>
      </c>
      <c r="E31" s="468">
        <v>2927.150685552408</v>
      </c>
      <c r="F31" s="468">
        <v>1951.433790368272</v>
      </c>
      <c r="G31" s="468">
        <v>1951.433790368272</v>
      </c>
      <c r="H31" s="126">
        <f t="shared" si="0"/>
        <v>2927.150685552408</v>
      </c>
      <c r="I31" s="468">
        <v>1386</v>
      </c>
      <c r="J31" s="468">
        <v>666</v>
      </c>
      <c r="K31" s="468">
        <v>7613.1444759206797</v>
      </c>
      <c r="L31" s="468">
        <v>5863.8866855524084</v>
      </c>
      <c r="M31" s="468">
        <v>4567.8866855524084</v>
      </c>
      <c r="N31" s="468">
        <v>3595.8866855524079</v>
      </c>
      <c r="O31" s="468">
        <v>2397.2577903682718</v>
      </c>
      <c r="P31" s="468">
        <v>2397.2577903682718</v>
      </c>
      <c r="Q31" s="126">
        <f t="shared" si="1"/>
        <v>3595.8866855524079</v>
      </c>
      <c r="R31" s="468">
        <v>1806</v>
      </c>
      <c r="S31" s="468">
        <v>834</v>
      </c>
    </row>
    <row r="32" spans="1:19">
      <c r="A32" s="467" t="s">
        <v>283</v>
      </c>
      <c r="B32" s="468">
        <v>5627.6724759206791</v>
      </c>
      <c r="C32" s="468">
        <v>4275.5090855524077</v>
      </c>
      <c r="D32" s="468">
        <v>3376.6034855524081</v>
      </c>
      <c r="E32" s="468">
        <v>2702.424285552408</v>
      </c>
      <c r="F32" s="468">
        <v>1801.6161903682721</v>
      </c>
      <c r="G32" s="468">
        <v>1801.6161903682721</v>
      </c>
      <c r="H32" s="126">
        <f t="shared" si="0"/>
        <v>2702.424285552408</v>
      </c>
      <c r="I32" s="468">
        <v>1266</v>
      </c>
      <c r="J32" s="468">
        <v>618</v>
      </c>
      <c r="K32" s="468">
        <v>6965.1444759206797</v>
      </c>
      <c r="L32" s="468">
        <v>5345.4866855524087</v>
      </c>
      <c r="M32" s="468">
        <v>4179.0866855524082</v>
      </c>
      <c r="N32" s="468">
        <v>3304.286685552408</v>
      </c>
      <c r="O32" s="468">
        <v>2202.8577903682722</v>
      </c>
      <c r="P32" s="468">
        <v>2202.8577903682722</v>
      </c>
      <c r="Q32" s="126">
        <f t="shared" si="1"/>
        <v>3304.286685552408</v>
      </c>
      <c r="R32" s="468">
        <v>1644</v>
      </c>
      <c r="S32" s="468">
        <v>769.2</v>
      </c>
    </row>
    <row r="33" spans="1:19">
      <c r="A33" s="467" t="s">
        <v>284</v>
      </c>
      <c r="B33" s="468">
        <v>7375.5444759206794</v>
      </c>
      <c r="C33" s="468">
        <v>5673.8066855524085</v>
      </c>
      <c r="D33" s="468">
        <v>4425.326685552408</v>
      </c>
      <c r="E33" s="468">
        <v>3488.9666855524079</v>
      </c>
      <c r="F33" s="468">
        <v>2325.9777903682721</v>
      </c>
      <c r="G33" s="468">
        <v>2325.9777903682721</v>
      </c>
      <c r="H33" s="126">
        <f t="shared" si="0"/>
        <v>3488.9666855524079</v>
      </c>
      <c r="I33" s="468">
        <v>1686</v>
      </c>
      <c r="J33" s="468">
        <v>786</v>
      </c>
      <c r="K33" s="468">
        <v>9233.1444759206806</v>
      </c>
      <c r="L33" s="468">
        <v>7159.8866855524084</v>
      </c>
      <c r="M33" s="468">
        <v>5539.8866855524084</v>
      </c>
      <c r="N33" s="468">
        <v>4324.8866855524084</v>
      </c>
      <c r="O33" s="468">
        <v>2883.2577903682718</v>
      </c>
      <c r="P33" s="468">
        <v>2883.2577903682718</v>
      </c>
      <c r="Q33" s="126">
        <f t="shared" si="1"/>
        <v>4324.8866855524084</v>
      </c>
      <c r="R33" s="468">
        <v>2211</v>
      </c>
      <c r="S33" s="468">
        <v>996</v>
      </c>
    </row>
    <row r="34" spans="1:19">
      <c r="A34" s="467" t="s">
        <v>285</v>
      </c>
      <c r="B34" s="468">
        <v>5627.6724759206791</v>
      </c>
      <c r="C34" s="468">
        <v>4275.5090855524077</v>
      </c>
      <c r="D34" s="468">
        <v>3376.6034855524081</v>
      </c>
      <c r="E34" s="468">
        <v>2702.424285552408</v>
      </c>
      <c r="F34" s="468">
        <v>1801.6161903682721</v>
      </c>
      <c r="G34" s="468">
        <v>1801.6161903682721</v>
      </c>
      <c r="H34" s="126">
        <f t="shared" si="0"/>
        <v>2702.424285552408</v>
      </c>
      <c r="I34" s="468">
        <v>1266</v>
      </c>
      <c r="J34" s="468">
        <v>618</v>
      </c>
      <c r="K34" s="468">
        <v>6965.1444759206797</v>
      </c>
      <c r="L34" s="468">
        <v>5345.4866855524087</v>
      </c>
      <c r="M34" s="468">
        <v>4179.0866855524082</v>
      </c>
      <c r="N34" s="468">
        <v>3304.286685552408</v>
      </c>
      <c r="O34" s="468">
        <v>2202.8577903682722</v>
      </c>
      <c r="P34" s="468">
        <v>2202.8577903682722</v>
      </c>
      <c r="Q34" s="126">
        <f t="shared" si="1"/>
        <v>3304.286685552408</v>
      </c>
      <c r="R34" s="468">
        <v>1644</v>
      </c>
      <c r="S34" s="468">
        <v>769.2</v>
      </c>
    </row>
    <row r="35" spans="1:19">
      <c r="A35" s="467" t="s">
        <v>286</v>
      </c>
      <c r="B35" s="468">
        <v>7375.5444759206794</v>
      </c>
      <c r="C35" s="468">
        <v>5673.8066855524085</v>
      </c>
      <c r="D35" s="468">
        <v>4425.326685552408</v>
      </c>
      <c r="E35" s="468">
        <v>3488.9666855524079</v>
      </c>
      <c r="F35" s="468">
        <v>2325.9777903682721</v>
      </c>
      <c r="G35" s="468">
        <v>2325.9777903682721</v>
      </c>
      <c r="H35" s="126">
        <f t="shared" si="0"/>
        <v>3488.9666855524079</v>
      </c>
      <c r="I35" s="468">
        <v>1686</v>
      </c>
      <c r="J35" s="468">
        <v>786</v>
      </c>
      <c r="K35" s="468">
        <v>9233.1444759206806</v>
      </c>
      <c r="L35" s="468">
        <v>7159.8866855524084</v>
      </c>
      <c r="M35" s="468">
        <v>5539.8866855524084</v>
      </c>
      <c r="N35" s="468">
        <v>4324.8866855524084</v>
      </c>
      <c r="O35" s="468">
        <v>2883.2577903682718</v>
      </c>
      <c r="P35" s="468">
        <v>2883.2577903682718</v>
      </c>
      <c r="Q35" s="126">
        <f t="shared" si="1"/>
        <v>4324.8866855524084</v>
      </c>
      <c r="R35" s="468">
        <v>2211</v>
      </c>
      <c r="S35" s="468">
        <v>996</v>
      </c>
    </row>
    <row r="36" spans="1:19">
      <c r="A36" s="467" t="s">
        <v>287</v>
      </c>
      <c r="B36" s="468">
        <v>4628.8884759206803</v>
      </c>
      <c r="C36" s="468">
        <v>3476.4818855524081</v>
      </c>
      <c r="D36" s="468">
        <v>2777.3330855524082</v>
      </c>
      <c r="E36" s="468">
        <v>2252.971485552408</v>
      </c>
      <c r="F36" s="468">
        <v>1501.9809903682719</v>
      </c>
      <c r="G36" s="468">
        <v>1501.9809903682719</v>
      </c>
      <c r="H36" s="126">
        <f t="shared" si="0"/>
        <v>2252.971485552408</v>
      </c>
      <c r="I36" s="468">
        <v>1026</v>
      </c>
      <c r="J36" s="468">
        <v>522</v>
      </c>
      <c r="K36" s="468">
        <v>5669.1444759206797</v>
      </c>
      <c r="L36" s="468">
        <v>4308.6866855524077</v>
      </c>
      <c r="M36" s="468">
        <v>3401.4866855524078</v>
      </c>
      <c r="N36" s="468">
        <v>2721.0866855524082</v>
      </c>
      <c r="O36" s="468">
        <v>1814.057790368272</v>
      </c>
      <c r="P36" s="468">
        <v>1814.057790368272</v>
      </c>
      <c r="Q36" s="126">
        <f t="shared" si="1"/>
        <v>2721.0866855524082</v>
      </c>
      <c r="R36" s="468">
        <v>1320</v>
      </c>
      <c r="S36" s="468">
        <v>639.6</v>
      </c>
    </row>
    <row r="37" spans="1:19">
      <c r="A37" s="467" t="s">
        <v>288</v>
      </c>
      <c r="B37" s="468">
        <v>5627.6724759206791</v>
      </c>
      <c r="C37" s="468">
        <v>4275.5090855524077</v>
      </c>
      <c r="D37" s="468">
        <v>3376.6034855524081</v>
      </c>
      <c r="E37" s="468">
        <v>2702.424285552408</v>
      </c>
      <c r="F37" s="468">
        <v>1801.6161903682721</v>
      </c>
      <c r="G37" s="468">
        <v>1801.6161903682721</v>
      </c>
      <c r="H37" s="126">
        <f t="shared" si="0"/>
        <v>2702.424285552408</v>
      </c>
      <c r="I37" s="468">
        <v>1266</v>
      </c>
      <c r="J37" s="468">
        <v>618</v>
      </c>
      <c r="K37" s="468">
        <v>6965.1444759206797</v>
      </c>
      <c r="L37" s="468">
        <v>5345.4866855524087</v>
      </c>
      <c r="M37" s="468">
        <v>4179.0866855524082</v>
      </c>
      <c r="N37" s="468">
        <v>3304.286685552408</v>
      </c>
      <c r="O37" s="468">
        <v>2202.8577903682722</v>
      </c>
      <c r="P37" s="468">
        <v>2202.8577903682722</v>
      </c>
      <c r="Q37" s="126">
        <f t="shared" si="1"/>
        <v>3304.286685552408</v>
      </c>
      <c r="R37" s="468">
        <v>1644</v>
      </c>
      <c r="S37" s="468">
        <v>769.2</v>
      </c>
    </row>
    <row r="38" spans="1:19">
      <c r="A38" s="467" t="s">
        <v>289</v>
      </c>
      <c r="B38" s="468">
        <v>5128.2804759206801</v>
      </c>
      <c r="C38" s="468">
        <v>3875.9954855524079</v>
      </c>
      <c r="D38" s="468">
        <v>3076.9682855524079</v>
      </c>
      <c r="E38" s="468">
        <v>2477.697885552408</v>
      </c>
      <c r="F38" s="468">
        <v>1651.798590368272</v>
      </c>
      <c r="G38" s="468">
        <v>1651.798590368272</v>
      </c>
      <c r="H38" s="126">
        <f t="shared" si="0"/>
        <v>2477.697885552408</v>
      </c>
      <c r="I38" s="468">
        <v>1146</v>
      </c>
      <c r="J38" s="468">
        <v>570</v>
      </c>
      <c r="K38" s="468">
        <v>6317.1444759206806</v>
      </c>
      <c r="L38" s="468">
        <v>4827.0866855524091</v>
      </c>
      <c r="M38" s="468">
        <v>3790.286685552408</v>
      </c>
      <c r="N38" s="468">
        <v>3012.6866855524081</v>
      </c>
      <c r="O38" s="468">
        <v>2008.4577903682721</v>
      </c>
      <c r="P38" s="468">
        <v>2008.4577903682721</v>
      </c>
      <c r="Q38" s="126">
        <f t="shared" si="1"/>
        <v>3012.6866855524081</v>
      </c>
      <c r="R38" s="468">
        <v>1482</v>
      </c>
      <c r="S38" s="468">
        <v>704.40000000000009</v>
      </c>
    </row>
    <row r="39" spans="1:19">
      <c r="A39" s="467" t="s">
        <v>290</v>
      </c>
      <c r="B39" s="468">
        <v>6626.4564759206814</v>
      </c>
      <c r="C39" s="468">
        <v>5074.536285552409</v>
      </c>
      <c r="D39" s="468">
        <v>3975.873885552408</v>
      </c>
      <c r="E39" s="468">
        <v>3151.877085552409</v>
      </c>
      <c r="F39" s="468">
        <v>2101.251390368272</v>
      </c>
      <c r="G39" s="468">
        <v>2101.251390368272</v>
      </c>
      <c r="H39" s="126">
        <f t="shared" si="0"/>
        <v>3151.877085552409</v>
      </c>
      <c r="I39" s="468">
        <v>1506</v>
      </c>
      <c r="J39" s="468">
        <v>714</v>
      </c>
      <c r="K39" s="468">
        <v>8261.1444759206806</v>
      </c>
      <c r="L39" s="468">
        <v>6382.286685552408</v>
      </c>
      <c r="M39" s="468">
        <v>4956.6866855524077</v>
      </c>
      <c r="N39" s="468">
        <v>3887.4866855524078</v>
      </c>
      <c r="O39" s="468">
        <v>2591.6577903682719</v>
      </c>
      <c r="P39" s="468">
        <v>2591.6577903682719</v>
      </c>
      <c r="Q39" s="126">
        <f t="shared" si="1"/>
        <v>3887.4866855524078</v>
      </c>
      <c r="R39" s="468">
        <v>1968</v>
      </c>
      <c r="S39" s="468">
        <v>898.80000000000007</v>
      </c>
    </row>
    <row r="40" spans="1:19">
      <c r="A40" s="467" t="s">
        <v>291</v>
      </c>
      <c r="B40" s="468">
        <v>7375.5444759206794</v>
      </c>
      <c r="C40" s="468">
        <v>5673.8066855524085</v>
      </c>
      <c r="D40" s="468">
        <v>4425.326685552408</v>
      </c>
      <c r="E40" s="468">
        <v>3488.9666855524079</v>
      </c>
      <c r="F40" s="468">
        <v>2325.9777903682721</v>
      </c>
      <c r="G40" s="468">
        <v>2325.9777903682721</v>
      </c>
      <c r="H40" s="126">
        <f t="shared" si="0"/>
        <v>3488.9666855524079</v>
      </c>
      <c r="I40" s="468">
        <v>1686</v>
      </c>
      <c r="J40" s="468">
        <v>786</v>
      </c>
      <c r="K40" s="468">
        <v>9233.1444759206806</v>
      </c>
      <c r="L40" s="468">
        <v>7159.8866855524084</v>
      </c>
      <c r="M40" s="468">
        <v>5539.8866855524084</v>
      </c>
      <c r="N40" s="468">
        <v>4324.8866855524084</v>
      </c>
      <c r="O40" s="468">
        <v>2883.2577903682718</v>
      </c>
      <c r="P40" s="468">
        <v>2883.2577903682718</v>
      </c>
      <c r="Q40" s="126">
        <f t="shared" si="1"/>
        <v>4324.8866855524084</v>
      </c>
      <c r="R40" s="468">
        <v>2211</v>
      </c>
      <c r="S40" s="468">
        <v>996</v>
      </c>
    </row>
    <row r="41" spans="1:19">
      <c r="A41" s="467" t="s">
        <v>292</v>
      </c>
      <c r="B41" s="468">
        <v>8873.7204759206797</v>
      </c>
      <c r="C41" s="468">
        <v>6872.3474855524073</v>
      </c>
      <c r="D41" s="468">
        <v>5324.2322855524071</v>
      </c>
      <c r="E41" s="468">
        <v>4163.1458855524079</v>
      </c>
      <c r="F41" s="468">
        <v>2775.4305903682721</v>
      </c>
      <c r="G41" s="468">
        <v>2775.4305903682721</v>
      </c>
      <c r="H41" s="126">
        <f t="shared" si="0"/>
        <v>4163.1458855524079</v>
      </c>
      <c r="I41" s="468">
        <v>2046</v>
      </c>
      <c r="J41" s="468">
        <v>930</v>
      </c>
      <c r="K41" s="468">
        <v>11177.144475920681</v>
      </c>
      <c r="L41" s="468">
        <v>8715.0866855524091</v>
      </c>
      <c r="M41" s="468">
        <v>6706.286685552408</v>
      </c>
      <c r="N41" s="468">
        <v>5199.6866855524077</v>
      </c>
      <c r="O41" s="468">
        <v>3466.4577903682721</v>
      </c>
      <c r="P41" s="468">
        <v>3466.4577903682721</v>
      </c>
      <c r="Q41" s="126">
        <f t="shared" si="1"/>
        <v>5199.6866855524077</v>
      </c>
      <c r="R41" s="468">
        <v>2697</v>
      </c>
      <c r="S41" s="468">
        <v>1190.4000000000001</v>
      </c>
    </row>
    <row r="42" spans="1:19">
      <c r="A42" s="131" t="s">
        <v>293</v>
      </c>
      <c r="B42" s="468">
        <v>7375.5444759206794</v>
      </c>
      <c r="C42" s="468">
        <v>5673.8066855524085</v>
      </c>
      <c r="D42" s="468">
        <v>4425.326685552408</v>
      </c>
      <c r="E42" s="468">
        <v>3488.9666855524079</v>
      </c>
      <c r="F42" s="468">
        <v>2325.9777903682721</v>
      </c>
      <c r="G42" s="468">
        <v>2325.9777903682721</v>
      </c>
      <c r="H42" s="126">
        <f t="shared" si="0"/>
        <v>3488.9666855524079</v>
      </c>
      <c r="I42" s="468">
        <v>1686</v>
      </c>
      <c r="J42" s="468">
        <v>786</v>
      </c>
      <c r="K42" s="468">
        <v>9233.1444759206806</v>
      </c>
      <c r="L42" s="468">
        <v>7159.8866855524084</v>
      </c>
      <c r="M42" s="468">
        <v>5539.8866855524084</v>
      </c>
      <c r="N42" s="468">
        <v>4324.8866855524084</v>
      </c>
      <c r="O42" s="468">
        <v>2883.2577903682718</v>
      </c>
      <c r="P42" s="468">
        <v>2883.2577903682718</v>
      </c>
      <c r="Q42" s="126">
        <f t="shared" si="1"/>
        <v>4324.8866855524084</v>
      </c>
      <c r="R42" s="468">
        <v>2211</v>
      </c>
      <c r="S42" s="468">
        <v>996</v>
      </c>
    </row>
    <row r="43" spans="1:19">
      <c r="A43" s="467" t="s">
        <v>294</v>
      </c>
      <c r="B43" s="468">
        <v>5128.2804759206801</v>
      </c>
      <c r="C43" s="468">
        <v>3875.9954855524079</v>
      </c>
      <c r="D43" s="468">
        <v>3076.9682855524079</v>
      </c>
      <c r="E43" s="468">
        <v>2477.697885552408</v>
      </c>
      <c r="F43" s="468">
        <v>1651.798590368272</v>
      </c>
      <c r="G43" s="468">
        <v>1651.798590368272</v>
      </c>
      <c r="H43" s="126">
        <f t="shared" si="0"/>
        <v>2477.697885552408</v>
      </c>
      <c r="I43" s="468">
        <v>1146</v>
      </c>
      <c r="J43" s="468">
        <v>570</v>
      </c>
      <c r="K43" s="468">
        <v>6317.1444759206806</v>
      </c>
      <c r="L43" s="468">
        <v>4827.0866855524091</v>
      </c>
      <c r="M43" s="468">
        <v>3790.286685552408</v>
      </c>
      <c r="N43" s="468">
        <v>3012.6866855524081</v>
      </c>
      <c r="O43" s="468">
        <v>2008.4577903682721</v>
      </c>
      <c r="P43" s="468">
        <v>2008.4577903682721</v>
      </c>
      <c r="Q43" s="126">
        <f t="shared" si="1"/>
        <v>3012.6866855524081</v>
      </c>
      <c r="R43" s="468">
        <v>1482</v>
      </c>
      <c r="S43" s="468">
        <v>704.40000000000009</v>
      </c>
    </row>
    <row r="44" spans="1:19">
      <c r="A44" s="467" t="s">
        <v>295</v>
      </c>
      <c r="B44" s="468">
        <v>6626.4564759206814</v>
      </c>
      <c r="C44" s="468">
        <v>5074.536285552409</v>
      </c>
      <c r="D44" s="468">
        <v>3975.873885552408</v>
      </c>
      <c r="E44" s="468">
        <v>3151.877085552409</v>
      </c>
      <c r="F44" s="468">
        <v>2101.251390368272</v>
      </c>
      <c r="G44" s="468">
        <v>2101.251390368272</v>
      </c>
      <c r="H44" s="126">
        <f t="shared" si="0"/>
        <v>3151.877085552409</v>
      </c>
      <c r="I44" s="468">
        <v>1506</v>
      </c>
      <c r="J44" s="468">
        <v>714</v>
      </c>
      <c r="K44" s="468">
        <v>8261.1444759206806</v>
      </c>
      <c r="L44" s="468">
        <v>6382.286685552408</v>
      </c>
      <c r="M44" s="468">
        <v>4956.6866855524077</v>
      </c>
      <c r="N44" s="468">
        <v>3887.4866855524078</v>
      </c>
      <c r="O44" s="468">
        <v>2591.6577903682719</v>
      </c>
      <c r="P44" s="468">
        <v>2591.6577903682719</v>
      </c>
      <c r="Q44" s="126">
        <f t="shared" si="1"/>
        <v>3887.4866855524078</v>
      </c>
      <c r="R44" s="468">
        <v>1968</v>
      </c>
      <c r="S44" s="468">
        <v>898.80000000000007</v>
      </c>
    </row>
    <row r="45" spans="1:19" s="177" customFormat="1">
      <c r="A45" s="469" t="s">
        <v>296</v>
      </c>
      <c r="B45" s="470">
        <v>7375.5444759206794</v>
      </c>
      <c r="C45" s="470">
        <v>5673.8066855524085</v>
      </c>
      <c r="D45" s="470">
        <v>4425.326685552408</v>
      </c>
      <c r="E45" s="470">
        <v>3488.9666855524079</v>
      </c>
      <c r="F45" s="470">
        <v>2325.9777903682721</v>
      </c>
      <c r="G45" s="470">
        <v>2325.9777903682721</v>
      </c>
      <c r="H45" s="176">
        <f t="shared" si="0"/>
        <v>3488.9666855524079</v>
      </c>
      <c r="I45" s="470">
        <v>1686</v>
      </c>
      <c r="J45" s="470">
        <v>786</v>
      </c>
      <c r="K45" s="470">
        <v>9233.1444759206806</v>
      </c>
      <c r="L45" s="470">
        <v>7159.8866855524084</v>
      </c>
      <c r="M45" s="470">
        <v>5539.8866855524084</v>
      </c>
      <c r="N45" s="470">
        <v>4324.8866855524084</v>
      </c>
      <c r="O45" s="470">
        <v>2883.2577903682718</v>
      </c>
      <c r="P45" s="470">
        <v>2883.2577903682718</v>
      </c>
      <c r="Q45" s="176">
        <f t="shared" si="1"/>
        <v>4324.8866855524084</v>
      </c>
      <c r="R45" s="470">
        <v>2211</v>
      </c>
      <c r="S45" s="470">
        <v>996</v>
      </c>
    </row>
  </sheetData>
  <mergeCells count="2">
    <mergeCell ref="B1:J1"/>
    <mergeCell ref="K1:P1"/>
  </mergeCells>
  <pageMargins left="0.7" right="0.7" top="0.75" bottom="0.75" header="0.3" footer="0.3"/>
  <headerFooter>
    <oddFooter>&amp;C&amp;"Calibri"&amp;10 &amp;K008000_x000D_# INTERNAL_x000D_&amp;1#&amp;"Calibri"&amp;10&amp;K008000 GENERAL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2:E19"/>
  <sheetViews>
    <sheetView showGridLines="0" workbookViewId="0">
      <selection activeCell="B16" sqref="B16:E16"/>
    </sheetView>
  </sheetViews>
  <sheetFormatPr defaultColWidth="9.125" defaultRowHeight="14.1"/>
  <cols>
    <col min="1" max="1" width="3.875" customWidth="1"/>
    <col min="2" max="2" width="36.125" bestFit="1" customWidth="1"/>
    <col min="3" max="3" width="28.625" customWidth="1"/>
    <col min="4" max="4" width="30.125" customWidth="1"/>
    <col min="5" max="5" width="16.125" customWidth="1"/>
  </cols>
  <sheetData>
    <row r="2" spans="2:5">
      <c r="B2" s="424" t="s">
        <v>297</v>
      </c>
      <c r="C2" s="433"/>
      <c r="D2" s="433"/>
      <c r="E2" s="433"/>
    </row>
    <row r="3" spans="2:5">
      <c r="B3" s="236" t="s">
        <v>298</v>
      </c>
      <c r="C3" s="236" t="s">
        <v>299</v>
      </c>
      <c r="D3" s="236" t="s">
        <v>165</v>
      </c>
      <c r="E3" s="233" t="s">
        <v>300</v>
      </c>
    </row>
    <row r="4" spans="2:5">
      <c r="B4" s="236"/>
      <c r="C4" s="239" t="s">
        <v>11</v>
      </c>
      <c r="D4" s="236"/>
      <c r="E4" s="233"/>
    </row>
    <row r="5" spans="2:5">
      <c r="B5" s="239" t="s">
        <v>301</v>
      </c>
      <c r="C5" s="238" t="s">
        <v>302</v>
      </c>
      <c r="D5" s="392" t="s">
        <v>303</v>
      </c>
      <c r="E5" s="166">
        <f>168.08/0.95</f>
        <v>176.9263157894737</v>
      </c>
    </row>
    <row r="6" spans="2:5">
      <c r="B6" s="239" t="s">
        <v>304</v>
      </c>
      <c r="C6" s="238" t="s">
        <v>305</v>
      </c>
      <c r="D6" s="392" t="s">
        <v>306</v>
      </c>
      <c r="E6" s="166">
        <f>133.7/0.95</f>
        <v>140.73684210526315</v>
      </c>
    </row>
    <row r="7" spans="2:5">
      <c r="B7" s="239" t="s">
        <v>307</v>
      </c>
      <c r="C7" s="238" t="s">
        <v>308</v>
      </c>
      <c r="D7" s="392" t="s">
        <v>309</v>
      </c>
      <c r="E7" s="166">
        <f>99.96/0.95</f>
        <v>105.22105263157894</v>
      </c>
    </row>
    <row r="8" spans="2:5">
      <c r="B8" s="239" t="s">
        <v>310</v>
      </c>
      <c r="C8" s="238" t="s">
        <v>311</v>
      </c>
      <c r="D8" s="392" t="s">
        <v>312</v>
      </c>
      <c r="E8" s="166">
        <f>64.94/0.95</f>
        <v>68.357894736842113</v>
      </c>
    </row>
    <row r="9" spans="2:5">
      <c r="B9" s="239" t="s">
        <v>224</v>
      </c>
      <c r="C9" s="238" t="s">
        <v>313</v>
      </c>
      <c r="D9" s="392" t="s">
        <v>312</v>
      </c>
      <c r="E9" s="166">
        <f>91.68/0.95</f>
        <v>96.505263157894746</v>
      </c>
    </row>
    <row r="10" spans="2:5">
      <c r="B10" s="239" t="s">
        <v>314</v>
      </c>
      <c r="C10" s="238" t="s">
        <v>314</v>
      </c>
      <c r="D10" s="392" t="s">
        <v>315</v>
      </c>
      <c r="E10" s="166">
        <v>85</v>
      </c>
    </row>
    <row r="11" spans="2:5">
      <c r="B11" s="239" t="s">
        <v>316</v>
      </c>
      <c r="C11" s="238" t="s">
        <v>316</v>
      </c>
      <c r="D11" s="392" t="s">
        <v>315</v>
      </c>
      <c r="E11" s="166">
        <v>85</v>
      </c>
    </row>
    <row r="12" spans="2:5">
      <c r="B12" s="239" t="s">
        <v>317</v>
      </c>
      <c r="C12" s="238" t="s">
        <v>317</v>
      </c>
      <c r="D12" s="392" t="s">
        <v>318</v>
      </c>
      <c r="E12" s="166">
        <v>122</v>
      </c>
    </row>
    <row r="13" spans="2:5">
      <c r="B13" s="239" t="s">
        <v>319</v>
      </c>
      <c r="C13" s="238" t="s">
        <v>320</v>
      </c>
      <c r="D13" s="392" t="s">
        <v>321</v>
      </c>
      <c r="E13" s="166">
        <v>91.2</v>
      </c>
    </row>
    <row r="14" spans="2:5">
      <c r="B14" s="239" t="s">
        <v>322</v>
      </c>
      <c r="C14" s="238" t="s">
        <v>323</v>
      </c>
      <c r="D14" s="392" t="s">
        <v>324</v>
      </c>
      <c r="E14" s="166">
        <v>155</v>
      </c>
    </row>
    <row r="16" spans="2:5">
      <c r="B16" s="424" t="s">
        <v>325</v>
      </c>
      <c r="C16" s="433"/>
      <c r="D16" s="433"/>
      <c r="E16" s="433"/>
    </row>
    <row r="18" spans="2:5">
      <c r="B18" s="16" t="s">
        <v>326</v>
      </c>
      <c r="C18" s="16" t="s">
        <v>327</v>
      </c>
      <c r="D18" s="16" t="s">
        <v>328</v>
      </c>
      <c r="E18" s="16" t="s">
        <v>71</v>
      </c>
    </row>
    <row r="19" spans="2:5">
      <c r="B19" s="165">
        <f>SUM(OLD!I8,OLD!J8,OLD!K8)</f>
        <v>0</v>
      </c>
      <c r="C19" s="256">
        <f>SUM(Summary!G22,Summary!G23)</f>
        <v>0</v>
      </c>
      <c r="D19" s="166">
        <f>B19-(B19*0.35)</f>
        <v>0</v>
      </c>
      <c r="E19" s="166">
        <f>D19-C19</f>
        <v>0</v>
      </c>
    </row>
  </sheetData>
  <mergeCells count="2">
    <mergeCell ref="B2:E2"/>
    <mergeCell ref="B16:E16"/>
  </mergeCells>
  <pageMargins left="0.7" right="0.7" top="0.75" bottom="0.75" header="0.3" footer="0.3"/>
  <headerFooter>
    <oddFooter>&amp;C_x000D_&amp;1#&amp;"Calibri"&amp;10&amp;K008000 GENERAL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5" tint="0.79998168889431442"/>
    <pageSetUpPr fitToPage="1"/>
  </sheetPr>
  <dimension ref="A1:H23"/>
  <sheetViews>
    <sheetView workbookViewId="0"/>
  </sheetViews>
  <sheetFormatPr defaultColWidth="9" defaultRowHeight="14.1"/>
  <cols>
    <col min="1" max="1" width="8.5" style="1" customWidth="1"/>
    <col min="2" max="2" width="54.5" style="1" customWidth="1"/>
    <col min="3" max="3" width="44.5" style="1" customWidth="1"/>
    <col min="4" max="6" width="7.5" style="25" customWidth="1"/>
    <col min="7" max="7" width="12" style="1" customWidth="1"/>
    <col min="8" max="8" width="14.5" style="1" customWidth="1"/>
    <col min="9" max="9" width="9" style="1" customWidth="1"/>
    <col min="10" max="10" width="11" style="1" customWidth="1"/>
    <col min="11" max="11" width="11.5" style="1" customWidth="1"/>
    <col min="12" max="12" width="9" style="1" customWidth="1"/>
    <col min="13" max="16384" width="9" style="1"/>
  </cols>
  <sheetData>
    <row r="1" spans="1:8">
      <c r="A1" s="33" t="s">
        <v>329</v>
      </c>
      <c r="B1" s="18"/>
      <c r="C1" s="18"/>
      <c r="D1" s="59"/>
      <c r="E1" s="59"/>
      <c r="F1" s="59"/>
      <c r="G1" s="18"/>
      <c r="H1" s="18"/>
    </row>
    <row r="2" spans="1:8">
      <c r="A2" s="33"/>
      <c r="B2" s="18"/>
      <c r="C2" s="18"/>
      <c r="D2" s="59"/>
      <c r="E2" s="59"/>
      <c r="F2" s="59"/>
      <c r="G2" s="18"/>
      <c r="H2" s="18"/>
    </row>
    <row r="3" spans="1:8">
      <c r="A3" s="2" t="s">
        <v>330</v>
      </c>
      <c r="B3" s="18"/>
      <c r="C3" s="84" t="s">
        <v>331</v>
      </c>
      <c r="D3" s="59"/>
      <c r="E3" s="59"/>
      <c r="F3" s="59"/>
      <c r="G3" s="18"/>
      <c r="H3" s="18"/>
    </row>
    <row r="4" spans="1:8">
      <c r="A4" s="2" t="e">
        <f>IF('Summary Old'!#REF!&lt;&gt;"",'Summary Old'!#REF!&amp;" - "&amp;'Summary Old'!#REF!,"&lt;Customer and Project not assigned&gt;")</f>
        <v>#REF!</v>
      </c>
      <c r="B4" s="18"/>
      <c r="C4" s="18"/>
      <c r="D4" s="59"/>
      <c r="E4" s="59"/>
      <c r="F4" s="59"/>
      <c r="G4" s="18"/>
      <c r="H4" s="18"/>
    </row>
    <row r="5" spans="1:8">
      <c r="A5" s="2" t="e">
        <f>IF('Summary Old'!#REF!&lt;&gt;"",'Summary Old'!#REF!,"&lt;IR not assigned&gt;")</f>
        <v>#REF!</v>
      </c>
      <c r="B5" s="18"/>
      <c r="C5" s="18"/>
      <c r="D5" s="59"/>
      <c r="E5" s="59"/>
      <c r="F5" s="59"/>
      <c r="G5" s="18"/>
      <c r="H5" s="18"/>
    </row>
    <row r="7" spans="1:8" ht="14.45" customHeight="1">
      <c r="A7" s="23" t="s">
        <v>332</v>
      </c>
      <c r="B7" s="2"/>
      <c r="C7" s="2"/>
      <c r="D7" s="404"/>
      <c r="E7" s="404"/>
      <c r="F7" s="404"/>
      <c r="G7" s="5"/>
      <c r="H7" s="5"/>
    </row>
    <row r="8" spans="1:8" ht="14.45" customHeight="1" thickBot="1">
      <c r="A8" s="2"/>
      <c r="B8" s="2"/>
      <c r="C8" s="2"/>
      <c r="D8" s="404" t="s">
        <v>161</v>
      </c>
      <c r="E8" s="404" t="s">
        <v>333</v>
      </c>
      <c r="F8" s="404" t="s">
        <v>334</v>
      </c>
      <c r="G8" s="20" t="s">
        <v>335</v>
      </c>
      <c r="H8" s="20" t="s">
        <v>336</v>
      </c>
    </row>
    <row r="9" spans="1:8" ht="14.45" customHeight="1" thickBot="1">
      <c r="A9" s="3" t="s">
        <v>204</v>
      </c>
      <c r="B9" s="4"/>
      <c r="C9" s="4"/>
      <c r="D9" s="24"/>
      <c r="E9" s="24"/>
      <c r="F9" s="24"/>
      <c r="G9" s="24"/>
      <c r="H9" s="36"/>
    </row>
    <row r="10" spans="1:8">
      <c r="A10" s="2"/>
      <c r="B10" s="2"/>
      <c r="C10" s="18"/>
      <c r="D10" s="59"/>
      <c r="E10" s="59"/>
      <c r="F10" s="59"/>
      <c r="G10" s="60"/>
      <c r="H10" s="60"/>
    </row>
    <row r="11" spans="1:8">
      <c r="A11" s="2"/>
      <c r="B11" s="18"/>
      <c r="C11" s="18"/>
      <c r="D11" s="35"/>
      <c r="E11" s="35">
        <v>1</v>
      </c>
      <c r="F11" s="61">
        <f t="shared" ref="F11:F20" si="0">D11*E11</f>
        <v>0</v>
      </c>
      <c r="G11" s="60">
        <v>0</v>
      </c>
      <c r="H11" s="60"/>
    </row>
    <row r="12" spans="1:8">
      <c r="A12" s="2"/>
      <c r="B12" s="18"/>
      <c r="C12" s="18"/>
      <c r="D12" s="35"/>
      <c r="E12" s="35">
        <v>1</v>
      </c>
      <c r="F12" s="61">
        <f t="shared" si="0"/>
        <v>0</v>
      </c>
      <c r="G12" s="60">
        <v>0</v>
      </c>
      <c r="H12" s="60">
        <f t="shared" ref="H12:H20" si="1">F12*G12</f>
        <v>0</v>
      </c>
    </row>
    <row r="13" spans="1:8">
      <c r="A13" s="2"/>
      <c r="B13" s="18"/>
      <c r="C13" s="18"/>
      <c r="D13" s="35"/>
      <c r="E13" s="35">
        <v>1</v>
      </c>
      <c r="F13" s="61">
        <f t="shared" si="0"/>
        <v>0</v>
      </c>
      <c r="G13" s="60">
        <v>0</v>
      </c>
      <c r="H13" s="60">
        <f t="shared" si="1"/>
        <v>0</v>
      </c>
    </row>
    <row r="14" spans="1:8">
      <c r="A14" s="2"/>
      <c r="B14" s="18"/>
      <c r="C14" s="18"/>
      <c r="D14" s="35"/>
      <c r="E14" s="35">
        <v>1</v>
      </c>
      <c r="F14" s="61">
        <f t="shared" si="0"/>
        <v>0</v>
      </c>
      <c r="G14" s="60">
        <v>0</v>
      </c>
      <c r="H14" s="60">
        <f t="shared" si="1"/>
        <v>0</v>
      </c>
    </row>
    <row r="15" spans="1:8">
      <c r="A15" s="2"/>
      <c r="B15" s="18"/>
      <c r="C15" s="18"/>
      <c r="D15" s="35"/>
      <c r="E15" s="35">
        <v>1</v>
      </c>
      <c r="F15" s="61">
        <f t="shared" si="0"/>
        <v>0</v>
      </c>
      <c r="G15" s="60">
        <v>0</v>
      </c>
      <c r="H15" s="60">
        <f t="shared" si="1"/>
        <v>0</v>
      </c>
    </row>
    <row r="16" spans="1:8">
      <c r="A16" s="2"/>
      <c r="B16" s="18"/>
      <c r="C16" s="18"/>
      <c r="D16" s="35"/>
      <c r="E16" s="35">
        <v>1</v>
      </c>
      <c r="F16" s="61">
        <f t="shared" si="0"/>
        <v>0</v>
      </c>
      <c r="G16" s="60">
        <v>0</v>
      </c>
      <c r="H16" s="60">
        <f t="shared" si="1"/>
        <v>0</v>
      </c>
    </row>
    <row r="17" spans="1:8">
      <c r="A17" s="2"/>
      <c r="B17" s="18"/>
      <c r="C17" s="18"/>
      <c r="D17" s="35"/>
      <c r="E17" s="35">
        <v>1</v>
      </c>
      <c r="F17" s="61">
        <f t="shared" si="0"/>
        <v>0</v>
      </c>
      <c r="G17" s="60">
        <v>0</v>
      </c>
      <c r="H17" s="60">
        <f t="shared" si="1"/>
        <v>0</v>
      </c>
    </row>
    <row r="18" spans="1:8">
      <c r="A18" s="2"/>
      <c r="B18" s="18"/>
      <c r="C18" s="18"/>
      <c r="D18" s="35"/>
      <c r="E18" s="35">
        <v>1</v>
      </c>
      <c r="F18" s="61">
        <f t="shared" si="0"/>
        <v>0</v>
      </c>
      <c r="G18" s="60">
        <v>0</v>
      </c>
      <c r="H18" s="60">
        <f t="shared" si="1"/>
        <v>0</v>
      </c>
    </row>
    <row r="19" spans="1:8">
      <c r="A19" s="2"/>
      <c r="B19" s="18"/>
      <c r="C19" s="18"/>
      <c r="D19" s="35"/>
      <c r="E19" s="35">
        <v>1</v>
      </c>
      <c r="F19" s="61">
        <f t="shared" si="0"/>
        <v>0</v>
      </c>
      <c r="G19" s="60">
        <v>0</v>
      </c>
      <c r="H19" s="60">
        <f t="shared" si="1"/>
        <v>0</v>
      </c>
    </row>
    <row r="20" spans="1:8">
      <c r="A20" s="2"/>
      <c r="B20" s="18"/>
      <c r="C20" s="18"/>
      <c r="D20" s="35"/>
      <c r="E20" s="35">
        <v>1</v>
      </c>
      <c r="F20" s="61">
        <f t="shared" si="0"/>
        <v>0</v>
      </c>
      <c r="G20" s="60">
        <v>0</v>
      </c>
      <c r="H20" s="60">
        <f t="shared" si="1"/>
        <v>0</v>
      </c>
    </row>
    <row r="22" spans="1:8" ht="14.45" customHeight="1" thickBot="1">
      <c r="A22" s="18"/>
      <c r="B22" s="18"/>
      <c r="C22" s="18"/>
      <c r="D22" s="59"/>
      <c r="E22" s="59"/>
      <c r="F22" s="59"/>
      <c r="G22" s="18"/>
      <c r="H22" s="18"/>
    </row>
    <row r="23" spans="1:8" ht="14.45" customHeight="1" thickTop="1">
      <c r="A23" s="6" t="s">
        <v>116</v>
      </c>
      <c r="B23" s="8"/>
      <c r="C23" s="8"/>
      <c r="D23" s="34"/>
      <c r="E23" s="34"/>
      <c r="F23" s="34"/>
      <c r="G23" s="8"/>
      <c r="H23" s="7">
        <f>ROUND(SUM(H10:H22),2)</f>
        <v>0</v>
      </c>
    </row>
  </sheetData>
  <hyperlinks>
    <hyperlink ref="A1" location="Summary!A1" display="Back to Summary" xr:uid="{00000000-0004-0000-0B00-000000000000}"/>
  </hyperlinks>
  <pageMargins left="0.7" right="0.7" top="0.75" bottom="0.75" header="0.3" footer="0.3"/>
  <pageSetup scale="65" fitToHeight="999" orientation="landscape"/>
  <headerFooter>
    <oddFooter>&amp;C_x000D_&amp;1#&amp;"Calibri"&amp;10&amp;K008000 GENERAL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3"/>
  <sheetViews>
    <sheetView workbookViewId="0"/>
  </sheetViews>
  <sheetFormatPr defaultColWidth="8.5" defaultRowHeight="14.1"/>
  <cols>
    <col min="1" max="1" width="34" bestFit="1" customWidth="1"/>
  </cols>
  <sheetData>
    <row r="1" spans="1:1">
      <c r="A1" s="392" t="s">
        <v>337</v>
      </c>
    </row>
    <row r="2" spans="1:1">
      <c r="A2" s="392" t="s">
        <v>338</v>
      </c>
    </row>
    <row r="3" spans="1:1">
      <c r="A3" s="392" t="s">
        <v>339</v>
      </c>
    </row>
  </sheetData>
  <pageMargins left="0.7" right="0.7" top="0.75" bottom="0.75" header="0.3" footer="0.3"/>
  <headerFooter>
    <oddFooter>&amp;C_x000D_&amp;1#&amp;"Calibri"&amp;10&amp;K008000 GENERAL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A5"/>
  <sheetViews>
    <sheetView workbookViewId="0"/>
  </sheetViews>
  <sheetFormatPr defaultColWidth="8.5" defaultRowHeight="14.1"/>
  <sheetData>
    <row r="1" spans="1:1">
      <c r="A1" s="33" t="s">
        <v>329</v>
      </c>
    </row>
    <row r="4" spans="1:1">
      <c r="A4" s="392" t="s">
        <v>340</v>
      </c>
    </row>
    <row r="5" spans="1:1">
      <c r="A5" s="392" t="s">
        <v>341</v>
      </c>
    </row>
  </sheetData>
  <hyperlinks>
    <hyperlink ref="A1" location="Summary!A1" display="Back to Summary" xr:uid="{00000000-0004-0000-0D00-000000000000}"/>
  </hyperlinks>
  <pageMargins left="0.7" right="0.7" top="0.75" bottom="0.75" header="0.3" footer="0.3"/>
  <headerFooter>
    <oddFooter>&amp;C_x000D_&amp;1#&amp;"Calibri"&amp;10&amp;K008000 GENERAL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C7"/>
  <sheetViews>
    <sheetView workbookViewId="0"/>
  </sheetViews>
  <sheetFormatPr defaultColWidth="8.5" defaultRowHeight="14.1"/>
  <cols>
    <col min="1" max="1" width="9" customWidth="1"/>
    <col min="2" max="2" width="14" customWidth="1"/>
    <col min="3" max="3" width="53.5" customWidth="1"/>
  </cols>
  <sheetData>
    <row r="1" spans="1:3">
      <c r="A1" s="33" t="s">
        <v>329</v>
      </c>
      <c r="B1" s="392"/>
      <c r="C1" s="392"/>
    </row>
    <row r="3" spans="1:3">
      <c r="A3" s="2" t="s">
        <v>342</v>
      </c>
      <c r="B3" s="392"/>
      <c r="C3" s="392"/>
    </row>
    <row r="4" spans="1:3">
      <c r="A4" s="392" t="s">
        <v>343</v>
      </c>
      <c r="B4" s="392"/>
      <c r="C4" s="392"/>
    </row>
    <row r="5" spans="1:3">
      <c r="A5" s="392" t="s">
        <v>344</v>
      </c>
      <c r="B5" s="392"/>
      <c r="C5" s="392"/>
    </row>
    <row r="7" spans="1:3">
      <c r="A7" s="392"/>
      <c r="B7" s="392" t="s">
        <v>345</v>
      </c>
      <c r="C7" s="392" t="s">
        <v>1</v>
      </c>
    </row>
  </sheetData>
  <hyperlinks>
    <hyperlink ref="A1" location="Summary!A1" display="&lt;Go Back to Summary&gt;" xr:uid="{00000000-0004-0000-0E00-000000000000}"/>
  </hyperlinks>
  <pageMargins left="0.7" right="0.7" top="0.75" bottom="0.75" header="0.3" footer="0.3"/>
  <headerFooter>
    <oddFooter>&amp;C_x000D_&amp;1#&amp;"Calibri"&amp;10&amp;K008000 GENERAL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C000"/>
  </sheetPr>
  <dimension ref="B1:J358"/>
  <sheetViews>
    <sheetView workbookViewId="0"/>
  </sheetViews>
  <sheetFormatPr defaultColWidth="17.5" defaultRowHeight="14.1"/>
  <cols>
    <col min="2" max="2" width="60.5" bestFit="1" customWidth="1"/>
    <col min="3" max="3" width="12" customWidth="1"/>
    <col min="4" max="4" width="11" customWidth="1"/>
    <col min="5" max="5" width="37.5" customWidth="1"/>
    <col min="6" max="6" width="26.375" style="81" customWidth="1"/>
    <col min="7" max="7" width="17.5" style="81" customWidth="1"/>
    <col min="8" max="8" width="37" customWidth="1"/>
    <col min="10" max="10" width="21.375" style="81" customWidth="1"/>
  </cols>
  <sheetData>
    <row r="1" spans="2:10">
      <c r="B1" s="392"/>
      <c r="C1" s="392" t="s">
        <v>346</v>
      </c>
      <c r="D1" s="392" t="s">
        <v>347</v>
      </c>
      <c r="E1" s="392" t="s">
        <v>348</v>
      </c>
      <c r="F1" s="81" t="s">
        <v>349</v>
      </c>
      <c r="G1" s="81" t="s">
        <v>350</v>
      </c>
      <c r="H1" s="392" t="s">
        <v>351</v>
      </c>
      <c r="I1" s="392" t="s">
        <v>352</v>
      </c>
      <c r="J1" s="81" t="s">
        <v>353</v>
      </c>
    </row>
    <row r="2" spans="2:10">
      <c r="B2" s="392" t="str">
        <f>Table1[[#This Row],[Cost Center Name]]&amp;Table1[[#This Row],[Job Name]]&amp;" "&amp;"-"&amp;" "&amp;Table1[[#This Row],[Job Code]]</f>
        <v>AS - OverheadAgile Delivery.Director - 100012</v>
      </c>
      <c r="C2" s="392" t="s">
        <v>354</v>
      </c>
      <c r="D2" s="392" t="s">
        <v>185</v>
      </c>
      <c r="E2" s="392" t="s">
        <v>355</v>
      </c>
      <c r="F2" s="81" t="s">
        <v>356</v>
      </c>
      <c r="G2" s="81">
        <v>100012</v>
      </c>
      <c r="H2" s="392" t="s">
        <v>357</v>
      </c>
      <c r="I2" s="392" t="s">
        <v>358</v>
      </c>
      <c r="J2" s="81">
        <v>245.25</v>
      </c>
    </row>
    <row r="3" spans="2:10">
      <c r="B3" s="392" t="str">
        <f>Table1[[#This Row],[Cost Center Name]]&amp;Table1[[#This Row],[Job Name]]&amp;" "&amp;"-"&amp;" "&amp;Table1[[#This Row],[Job Code]]</f>
        <v>AS - OverheadAgile Delivery.Product Owner - 100014</v>
      </c>
      <c r="C3" s="392" t="s">
        <v>354</v>
      </c>
      <c r="D3" s="392" t="s">
        <v>185</v>
      </c>
      <c r="E3" s="392" t="s">
        <v>355</v>
      </c>
      <c r="F3" s="81" t="s">
        <v>356</v>
      </c>
      <c r="G3" s="81">
        <v>100014</v>
      </c>
      <c r="H3" s="392" t="s">
        <v>359</v>
      </c>
      <c r="I3" s="392" t="s">
        <v>358</v>
      </c>
      <c r="J3" s="81">
        <v>157.5</v>
      </c>
    </row>
    <row r="4" spans="2:10">
      <c r="B4" s="392" t="str">
        <f>Table1[[#This Row],[Cost Center Name]]&amp;Table1[[#This Row],[Job Name]]&amp;" "&amp;"-"&amp;" "&amp;Table1[[#This Row],[Job Code]]</f>
        <v>AS - OverheadConsulting.Director - 100064</v>
      </c>
      <c r="C4" s="392" t="s">
        <v>354</v>
      </c>
      <c r="D4" s="392" t="s">
        <v>185</v>
      </c>
      <c r="E4" s="392" t="s">
        <v>355</v>
      </c>
      <c r="F4" s="81" t="s">
        <v>356</v>
      </c>
      <c r="G4" s="81">
        <v>100064</v>
      </c>
      <c r="H4" s="392" t="s">
        <v>360</v>
      </c>
      <c r="I4" s="392" t="s">
        <v>358</v>
      </c>
      <c r="J4" s="81">
        <v>220.5</v>
      </c>
    </row>
    <row r="5" spans="2:10">
      <c r="B5" s="392" t="str">
        <f>Table1[[#This Row],[Cost Center Name]]&amp;Table1[[#This Row],[Job Name]]&amp;" "&amp;"-"&amp;" "&amp;Table1[[#This Row],[Job Code]]</f>
        <v>AS - OverheadConsulting.Staff - 100070</v>
      </c>
      <c r="C5" s="392" t="s">
        <v>354</v>
      </c>
      <c r="D5" s="392" t="s">
        <v>185</v>
      </c>
      <c r="E5" s="392" t="s">
        <v>355</v>
      </c>
      <c r="F5" s="81" t="s">
        <v>356</v>
      </c>
      <c r="G5" s="81">
        <v>100070</v>
      </c>
      <c r="H5" s="392" t="s">
        <v>361</v>
      </c>
      <c r="I5" s="392" t="s">
        <v>358</v>
      </c>
      <c r="J5" s="81">
        <v>112.5</v>
      </c>
    </row>
    <row r="6" spans="2:10">
      <c r="B6" s="392" t="str">
        <f>Table1[[#This Row],[Cost Center Name]]&amp;Table1[[#This Row],[Job Name]]&amp;" "&amp;"-"&amp;" "&amp;Table1[[#This Row],[Job Code]]</f>
        <v>AS - OverheadServices Overhead.Manager - 100148</v>
      </c>
      <c r="C6" s="392" t="s">
        <v>354</v>
      </c>
      <c r="D6" s="392" t="s">
        <v>185</v>
      </c>
      <c r="E6" s="392" t="s">
        <v>355</v>
      </c>
      <c r="F6" s="81" t="s">
        <v>356</v>
      </c>
      <c r="G6" s="81">
        <v>100148</v>
      </c>
      <c r="H6" s="392" t="s">
        <v>362</v>
      </c>
      <c r="I6" s="392" t="s">
        <v>358</v>
      </c>
      <c r="J6" s="81">
        <v>159.75</v>
      </c>
    </row>
    <row r="7" spans="2:10">
      <c r="B7" s="392" t="str">
        <f>Table1[[#This Row],[Cost Center Name]]&amp;Table1[[#This Row],[Job Name]]&amp;" "&amp;"-"&amp;" "&amp;Table1[[#This Row],[Job Code]]</f>
        <v>AS - OverheadServices Overhead.Staff - 100149</v>
      </c>
      <c r="C7" s="392" t="s">
        <v>354</v>
      </c>
      <c r="D7" s="392" t="s">
        <v>185</v>
      </c>
      <c r="E7" s="392" t="s">
        <v>355</v>
      </c>
      <c r="F7" s="81" t="s">
        <v>356</v>
      </c>
      <c r="G7" s="81">
        <v>100149</v>
      </c>
      <c r="H7" s="392" t="s">
        <v>363</v>
      </c>
      <c r="I7" s="392" t="s">
        <v>358</v>
      </c>
      <c r="J7" s="81">
        <v>99</v>
      </c>
    </row>
    <row r="8" spans="2:10">
      <c r="B8" s="392" t="str">
        <f>Table1[[#This Row],[Cost Center Name]]&amp;Table1[[#This Row],[Job Name]]&amp;" "&amp;"-"&amp;" "&amp;Table1[[#This Row],[Job Code]]</f>
        <v>AS - OverheadSoftware.Director - 100162</v>
      </c>
      <c r="C8" s="392" t="s">
        <v>354</v>
      </c>
      <c r="D8" s="392" t="s">
        <v>185</v>
      </c>
      <c r="E8" s="392" t="s">
        <v>355</v>
      </c>
      <c r="F8" s="81" t="s">
        <v>356</v>
      </c>
      <c r="G8" s="81">
        <v>100162</v>
      </c>
      <c r="H8" s="392" t="s">
        <v>364</v>
      </c>
      <c r="I8" s="392" t="s">
        <v>358</v>
      </c>
      <c r="J8" s="81">
        <v>213.75</v>
      </c>
    </row>
    <row r="9" spans="2:10">
      <c r="B9" s="392" t="str">
        <f>Table1[[#This Row],[Cost Center Name]]&amp;Table1[[#This Row],[Job Name]]&amp;" "&amp;"-"&amp;" "&amp;Table1[[#This Row],[Job Code]]</f>
        <v>AS - OverheadSoftware.Executive - 100163</v>
      </c>
      <c r="C9" s="392" t="s">
        <v>354</v>
      </c>
      <c r="D9" s="392" t="s">
        <v>185</v>
      </c>
      <c r="E9" s="392" t="s">
        <v>355</v>
      </c>
      <c r="F9" s="81" t="s">
        <v>356</v>
      </c>
      <c r="G9" s="81">
        <v>100163</v>
      </c>
      <c r="H9" s="392" t="s">
        <v>365</v>
      </c>
      <c r="I9" s="392" t="s">
        <v>358</v>
      </c>
      <c r="J9" s="81">
        <v>261</v>
      </c>
    </row>
    <row r="10" spans="2:10">
      <c r="B10" s="392" t="str">
        <f>Table1[[#This Row],[Cost Center Name]]&amp;Table1[[#This Row],[Job Name]]&amp;" "&amp;"-"&amp;" "&amp;Table1[[#This Row],[Job Code]]</f>
        <v>AS - OverheadSoftware.Solution Consultant - 100164</v>
      </c>
      <c r="C10" s="392" t="s">
        <v>354</v>
      </c>
      <c r="D10" s="392" t="s">
        <v>185</v>
      </c>
      <c r="E10" s="392" t="s">
        <v>355</v>
      </c>
      <c r="F10" s="81" t="s">
        <v>356</v>
      </c>
      <c r="G10" s="81">
        <v>100164</v>
      </c>
      <c r="H10" s="392" t="s">
        <v>366</v>
      </c>
      <c r="I10" s="392" t="s">
        <v>358</v>
      </c>
      <c r="J10" s="81">
        <v>180</v>
      </c>
    </row>
    <row r="11" spans="2:10">
      <c r="B11" s="392" t="str">
        <f>Table1[[#This Row],[Cost Center Name]]&amp;Table1[[#This Row],[Job Name]]&amp;" "&amp;"-"&amp;" "&amp;Table1[[#This Row],[Job Code]]</f>
        <v>AS - OverheadSoftware.Staff - 100165</v>
      </c>
      <c r="C11" s="392" t="s">
        <v>354</v>
      </c>
      <c r="D11" s="392" t="s">
        <v>185</v>
      </c>
      <c r="E11" s="392" t="s">
        <v>355</v>
      </c>
      <c r="F11" s="81" t="s">
        <v>356</v>
      </c>
      <c r="G11" s="81">
        <v>100165</v>
      </c>
      <c r="H11" s="392" t="s">
        <v>367</v>
      </c>
      <c r="I11" s="392" t="s">
        <v>358</v>
      </c>
      <c r="J11" s="81">
        <v>87.75</v>
      </c>
    </row>
    <row r="12" spans="2:10">
      <c r="B12" s="392" t="str">
        <f>Table1[[#This Row],[Cost Center Name]]&amp;Table1[[#This Row],[Job Name]]&amp;" "&amp;"-"&amp;" "&amp;Table1[[#This Row],[Job Code]]</f>
        <v>AS - OverheadAgile Delivery.Manager - 100239</v>
      </c>
      <c r="C12" s="392" t="s">
        <v>354</v>
      </c>
      <c r="D12" s="392" t="s">
        <v>185</v>
      </c>
      <c r="E12" s="392" t="s">
        <v>355</v>
      </c>
      <c r="F12" s="81" t="s">
        <v>356</v>
      </c>
      <c r="G12" s="81">
        <v>100239</v>
      </c>
      <c r="H12" s="392" t="s">
        <v>368</v>
      </c>
      <c r="I12" s="392" t="s">
        <v>358</v>
      </c>
      <c r="J12" s="81">
        <v>189</v>
      </c>
    </row>
    <row r="13" spans="2:10">
      <c r="B13" s="392" t="str">
        <f>Table1[[#This Row],[Cost Center Name]]&amp;Table1[[#This Row],[Job Name]]&amp;" "&amp;"-"&amp;" "&amp;Table1[[#This Row],[Job Code]]</f>
        <v>AS Agile Billable Group 1Agile Delivery.Business Analyst - 100009</v>
      </c>
      <c r="C13" s="392" t="s">
        <v>354</v>
      </c>
      <c r="D13" s="392" t="s">
        <v>185</v>
      </c>
      <c r="E13" s="392" t="s">
        <v>355</v>
      </c>
      <c r="F13" s="81" t="s">
        <v>369</v>
      </c>
      <c r="G13" s="81">
        <v>100009</v>
      </c>
      <c r="H13" s="392" t="s">
        <v>370</v>
      </c>
      <c r="I13" s="392" t="s">
        <v>358</v>
      </c>
      <c r="J13" s="81">
        <v>139.26</v>
      </c>
    </row>
    <row r="14" spans="2:10">
      <c r="B14" s="392" t="str">
        <f>Table1[[#This Row],[Cost Center Name]]&amp;Table1[[#This Row],[Job Name]]&amp;" "&amp;"-"&amp;" "&amp;Table1[[#This Row],[Job Code]]</f>
        <v>AS Agile Billable Group 1Agile Delivery.Delivery Lead - 100011</v>
      </c>
      <c r="C14" s="392" t="s">
        <v>354</v>
      </c>
      <c r="D14" s="392" t="s">
        <v>185</v>
      </c>
      <c r="E14" s="392" t="s">
        <v>355</v>
      </c>
      <c r="F14" s="81" t="s">
        <v>369</v>
      </c>
      <c r="G14" s="81">
        <v>100011</v>
      </c>
      <c r="H14" s="392" t="s">
        <v>371</v>
      </c>
      <c r="I14" s="392" t="s">
        <v>358</v>
      </c>
      <c r="J14" s="81">
        <v>175.13</v>
      </c>
    </row>
    <row r="15" spans="2:10">
      <c r="B15" s="392" t="str">
        <f>Table1[[#This Row],[Cost Center Name]]&amp;Table1[[#This Row],[Job Name]]&amp;" "&amp;"-"&amp;" "&amp;Table1[[#This Row],[Job Code]]</f>
        <v>AS Agile Billable Group 1Agile Delivery.Product Owner - 100014</v>
      </c>
      <c r="C15" s="392" t="s">
        <v>354</v>
      </c>
      <c r="D15" s="392" t="s">
        <v>185</v>
      </c>
      <c r="E15" s="392" t="s">
        <v>355</v>
      </c>
      <c r="F15" s="81" t="s">
        <v>369</v>
      </c>
      <c r="G15" s="81">
        <v>100014</v>
      </c>
      <c r="H15" s="392" t="s">
        <v>359</v>
      </c>
      <c r="I15" s="392" t="s">
        <v>358</v>
      </c>
      <c r="J15" s="81">
        <v>147.69999999999999</v>
      </c>
    </row>
    <row r="16" spans="2:10">
      <c r="B16" s="392" t="str">
        <f>Table1[[#This Row],[Cost Center Name]]&amp;Table1[[#This Row],[Job Name]]&amp;" "&amp;"-"&amp;" "&amp;Table1[[#This Row],[Job Code]]</f>
        <v>AS Agile Billable Group 1Agile Delivery.QA Analyst - 100015</v>
      </c>
      <c r="C16" s="392" t="s">
        <v>354</v>
      </c>
      <c r="D16" s="392" t="s">
        <v>185</v>
      </c>
      <c r="E16" s="392" t="s">
        <v>355</v>
      </c>
      <c r="F16" s="81" t="s">
        <v>369</v>
      </c>
      <c r="G16" s="81">
        <v>100015</v>
      </c>
      <c r="H16" s="392" t="s">
        <v>372</v>
      </c>
      <c r="I16" s="392" t="s">
        <v>358</v>
      </c>
      <c r="J16" s="81">
        <v>120.27</v>
      </c>
    </row>
    <row r="17" spans="2:10">
      <c r="B17" s="392" t="str">
        <f>Table1[[#This Row],[Cost Center Name]]&amp;Table1[[#This Row],[Job Name]]&amp;" "&amp;"-"&amp;" "&amp;Table1[[#This Row],[Job Code]]</f>
        <v>AS Agile Billable Group 1Agile Delivery.QA Engineer - 100016</v>
      </c>
      <c r="C17" s="392" t="s">
        <v>354</v>
      </c>
      <c r="D17" s="392" t="s">
        <v>185</v>
      </c>
      <c r="E17" s="392" t="s">
        <v>355</v>
      </c>
      <c r="F17" s="81" t="s">
        <v>369</v>
      </c>
      <c r="G17" s="81">
        <v>100016</v>
      </c>
      <c r="H17" s="392" t="s">
        <v>373</v>
      </c>
      <c r="I17" s="392" t="s">
        <v>358</v>
      </c>
      <c r="J17" s="81">
        <v>118.16</v>
      </c>
    </row>
    <row r="18" spans="2:10">
      <c r="B18" s="392" t="str">
        <f>Table1[[#This Row],[Cost Center Name]]&amp;Table1[[#This Row],[Job Name]]&amp;" "&amp;"-"&amp;" "&amp;Table1[[#This Row],[Job Code]]</f>
        <v>AS Agile Billable Group 1Agile Delivery.Software Engineer - 100018</v>
      </c>
      <c r="C18" s="392" t="s">
        <v>354</v>
      </c>
      <c r="D18" s="392" t="s">
        <v>185</v>
      </c>
      <c r="E18" s="392" t="s">
        <v>355</v>
      </c>
      <c r="F18" s="81" t="s">
        <v>369</v>
      </c>
      <c r="G18" s="81">
        <v>100018</v>
      </c>
      <c r="H18" s="392" t="s">
        <v>374</v>
      </c>
      <c r="I18" s="392" t="s">
        <v>358</v>
      </c>
      <c r="J18" s="81">
        <v>145.59</v>
      </c>
    </row>
    <row r="19" spans="2:10">
      <c r="B19" s="392" t="str">
        <f>Table1[[#This Row],[Cost Center Name]]&amp;Table1[[#This Row],[Job Name]]&amp;" "&amp;"-"&amp;" "&amp;Table1[[#This Row],[Job Code]]</f>
        <v>AS Agile Billable Group 1Agile Delivery.UX Frontend Engineer - 100021</v>
      </c>
      <c r="C19" s="392" t="s">
        <v>354</v>
      </c>
      <c r="D19" s="392" t="s">
        <v>185</v>
      </c>
      <c r="E19" s="392" t="s">
        <v>355</v>
      </c>
      <c r="F19" s="81" t="s">
        <v>369</v>
      </c>
      <c r="G19" s="81">
        <v>100021</v>
      </c>
      <c r="H19" s="392" t="s">
        <v>375</v>
      </c>
      <c r="I19" s="392" t="s">
        <v>358</v>
      </c>
      <c r="J19" s="81">
        <v>126.6</v>
      </c>
    </row>
    <row r="20" spans="2:10">
      <c r="B20" s="392" t="str">
        <f>Table1[[#This Row],[Cost Center Name]]&amp;Table1[[#This Row],[Job Name]]&amp;" "&amp;"-"&amp;" "&amp;Table1[[#This Row],[Job Code]]</f>
        <v>AS Agile Billable Group 1Consulting.Delivery Engineer - 100062</v>
      </c>
      <c r="C20" s="392" t="s">
        <v>354</v>
      </c>
      <c r="D20" s="392" t="s">
        <v>185</v>
      </c>
      <c r="E20" s="392" t="s">
        <v>355</v>
      </c>
      <c r="F20" s="81" t="s">
        <v>369</v>
      </c>
      <c r="G20" s="81">
        <v>100062</v>
      </c>
      <c r="H20" s="392" t="s">
        <v>376</v>
      </c>
      <c r="I20" s="392" t="s">
        <v>358</v>
      </c>
      <c r="J20" s="81">
        <v>147.69999999999999</v>
      </c>
    </row>
    <row r="21" spans="2:10">
      <c r="B21" s="392" t="str">
        <f>Table1[[#This Row],[Cost Center Name]]&amp;Table1[[#This Row],[Job Name]]&amp;" "&amp;"-"&amp;" "&amp;Table1[[#This Row],[Job Code]]</f>
        <v>AS Agile Billable Group 1Digital.Sr Creative Consultant - 100304</v>
      </c>
      <c r="C21" s="392" t="s">
        <v>354</v>
      </c>
      <c r="D21" s="392" t="s">
        <v>185</v>
      </c>
      <c r="E21" s="392" t="s">
        <v>355</v>
      </c>
      <c r="F21" s="81" t="s">
        <v>369</v>
      </c>
      <c r="G21" s="81">
        <v>100304</v>
      </c>
      <c r="H21" s="392" t="s">
        <v>377</v>
      </c>
      <c r="I21" s="392" t="s">
        <v>358</v>
      </c>
      <c r="J21" s="81">
        <v>120.27</v>
      </c>
    </row>
    <row r="22" spans="2:10">
      <c r="B22" s="392" t="str">
        <f>Table1[[#This Row],[Cost Center Name]]&amp;Table1[[#This Row],[Job Name]]&amp;" "&amp;"-"&amp;" "&amp;Table1[[#This Row],[Job Code]]</f>
        <v>AS Agile Billable Group 1Agile Delivery.DeliveryLeader - 100309</v>
      </c>
      <c r="C22" s="392" t="s">
        <v>354</v>
      </c>
      <c r="D22" s="392" t="s">
        <v>185</v>
      </c>
      <c r="E22" s="392" t="s">
        <v>355</v>
      </c>
      <c r="F22" s="81" t="s">
        <v>369</v>
      </c>
      <c r="G22" s="81">
        <v>100309</v>
      </c>
      <c r="H22" s="392" t="s">
        <v>378</v>
      </c>
      <c r="I22" s="392" t="s">
        <v>358</v>
      </c>
      <c r="J22" s="81">
        <v>187.79</v>
      </c>
    </row>
    <row r="23" spans="2:10">
      <c r="B23" s="392" t="str">
        <f>Table1[[#This Row],[Cost Center Name]]&amp;Table1[[#This Row],[Job Name]]&amp;" "&amp;"-"&amp;" "&amp;Table1[[#This Row],[Job Code]]</f>
        <v>AS Agile Billable Group 2Agile Delivery.Security Engineer - 100017</v>
      </c>
      <c r="C23" s="392" t="s">
        <v>354</v>
      </c>
      <c r="D23" s="392" t="s">
        <v>185</v>
      </c>
      <c r="E23" s="392" t="s">
        <v>355</v>
      </c>
      <c r="F23" s="81" t="s">
        <v>379</v>
      </c>
      <c r="G23" s="81">
        <v>100017</v>
      </c>
      <c r="H23" s="392" t="s">
        <v>380</v>
      </c>
      <c r="I23" s="392" t="s">
        <v>358</v>
      </c>
      <c r="J23" s="81">
        <v>158.6</v>
      </c>
    </row>
    <row r="24" spans="2:10">
      <c r="B24" s="392" t="str">
        <f>Table1[[#This Row],[Cost Center Name]]&amp;Table1[[#This Row],[Job Name]]&amp;" "&amp;"-"&amp;" "&amp;Table1[[#This Row],[Job Code]]</f>
        <v>AS Agile Billable Group 2Agile Delivery.Software Engineer - 100018</v>
      </c>
      <c r="C24" s="392" t="s">
        <v>354</v>
      </c>
      <c r="D24" s="392" t="s">
        <v>185</v>
      </c>
      <c r="E24" s="392" t="s">
        <v>355</v>
      </c>
      <c r="F24" s="81" t="s">
        <v>379</v>
      </c>
      <c r="G24" s="81">
        <v>100018</v>
      </c>
      <c r="H24" s="392" t="s">
        <v>374</v>
      </c>
      <c r="I24" s="392" t="s">
        <v>358</v>
      </c>
      <c r="J24" s="81">
        <v>168.36</v>
      </c>
    </row>
    <row r="25" spans="2:10">
      <c r="B25" s="392" t="str">
        <f>Table1[[#This Row],[Cost Center Name]]&amp;Table1[[#This Row],[Job Name]]&amp;" "&amp;"-"&amp;" "&amp;Table1[[#This Row],[Job Code]]</f>
        <v>AS Agile Billable Group 2Consulting.Agile Consultant - 100061</v>
      </c>
      <c r="C25" s="392" t="s">
        <v>354</v>
      </c>
      <c r="D25" s="392" t="s">
        <v>185</v>
      </c>
      <c r="E25" s="392" t="s">
        <v>355</v>
      </c>
      <c r="F25" s="81" t="s">
        <v>379</v>
      </c>
      <c r="G25" s="81">
        <v>100061</v>
      </c>
      <c r="H25" s="392" t="s">
        <v>381</v>
      </c>
      <c r="I25" s="392" t="s">
        <v>358</v>
      </c>
      <c r="J25" s="81">
        <v>236.68</v>
      </c>
    </row>
    <row r="26" spans="2:10">
      <c r="B26" s="392" t="str">
        <f>Table1[[#This Row],[Cost Center Name]]&amp;Table1[[#This Row],[Job Name]]&amp;" "&amp;"-"&amp;" "&amp;Table1[[#This Row],[Job Code]]</f>
        <v>AS Agile Billable Group 2Agile Delivery.Technical Writer - 100248</v>
      </c>
      <c r="C26" s="392" t="s">
        <v>354</v>
      </c>
      <c r="D26" s="392" t="s">
        <v>185</v>
      </c>
      <c r="E26" s="392" t="s">
        <v>355</v>
      </c>
      <c r="F26" s="81" t="s">
        <v>379</v>
      </c>
      <c r="G26" s="81">
        <v>100248</v>
      </c>
      <c r="H26" s="392" t="s">
        <v>382</v>
      </c>
      <c r="I26" s="392" t="s">
        <v>358</v>
      </c>
      <c r="J26" s="81">
        <v>114.68</v>
      </c>
    </row>
    <row r="27" spans="2:10">
      <c r="B27" s="392" t="str">
        <f>Table1[[#This Row],[Cost Center Name]]&amp;Table1[[#This Row],[Job Name]]&amp;" "&amp;"-"&amp;" "&amp;Table1[[#This Row],[Job Code]]</f>
        <v>AS Agile Billable Group 2Agile Delivery.DevOps Engineer - 100310</v>
      </c>
      <c r="C27" s="392" t="s">
        <v>354</v>
      </c>
      <c r="D27" s="392" t="s">
        <v>185</v>
      </c>
      <c r="E27" s="392" t="s">
        <v>355</v>
      </c>
      <c r="F27" s="81" t="s">
        <v>379</v>
      </c>
      <c r="G27" s="81">
        <v>100310</v>
      </c>
      <c r="H27" s="392" t="s">
        <v>383</v>
      </c>
      <c r="I27" s="392" t="s">
        <v>358</v>
      </c>
      <c r="J27" s="81">
        <v>180.56</v>
      </c>
    </row>
    <row r="28" spans="2:10">
      <c r="B28" s="392" t="str">
        <f>Table1[[#This Row],[Cost Center Name]]&amp;Table1[[#This Row],[Job Name]]&amp;" "&amp;"-"&amp;" "&amp;Table1[[#This Row],[Job Code]]</f>
        <v>AS Agile BofAAgile Delivery.Business Analyst - 100009</v>
      </c>
      <c r="C28" s="392" t="s">
        <v>354</v>
      </c>
      <c r="D28" s="392" t="s">
        <v>185</v>
      </c>
      <c r="E28" s="392" t="s">
        <v>355</v>
      </c>
      <c r="F28" s="81" t="s">
        <v>384</v>
      </c>
      <c r="G28" s="81">
        <v>100009</v>
      </c>
      <c r="H28" s="392" t="s">
        <v>370</v>
      </c>
      <c r="I28" s="392" t="s">
        <v>358</v>
      </c>
      <c r="J28" s="81">
        <v>130.68</v>
      </c>
    </row>
    <row r="29" spans="2:10">
      <c r="B29" s="392" t="str">
        <f>Table1[[#This Row],[Cost Center Name]]&amp;Table1[[#This Row],[Job Name]]&amp;" "&amp;"-"&amp;" "&amp;Table1[[#This Row],[Job Code]]</f>
        <v>AS Agile BofAAgile Delivery.Product Owner - 100014</v>
      </c>
      <c r="C29" s="392" t="s">
        <v>354</v>
      </c>
      <c r="D29" s="392" t="s">
        <v>185</v>
      </c>
      <c r="E29" s="392" t="s">
        <v>355</v>
      </c>
      <c r="F29" s="81" t="s">
        <v>384</v>
      </c>
      <c r="G29" s="81">
        <v>100014</v>
      </c>
      <c r="H29" s="392" t="s">
        <v>359</v>
      </c>
      <c r="I29" s="392" t="s">
        <v>358</v>
      </c>
      <c r="J29" s="81">
        <v>138.6</v>
      </c>
    </row>
    <row r="30" spans="2:10">
      <c r="B30" s="392" t="str">
        <f>Table1[[#This Row],[Cost Center Name]]&amp;Table1[[#This Row],[Job Name]]&amp;" "&amp;"-"&amp;" "&amp;Table1[[#This Row],[Job Code]]</f>
        <v>AS Agile BofAAgile Delivery.QA Analyst - 100015</v>
      </c>
      <c r="C30" s="392" t="s">
        <v>354</v>
      </c>
      <c r="D30" s="392" t="s">
        <v>185</v>
      </c>
      <c r="E30" s="392" t="s">
        <v>355</v>
      </c>
      <c r="F30" s="81" t="s">
        <v>384</v>
      </c>
      <c r="G30" s="81">
        <v>100015</v>
      </c>
      <c r="H30" s="392" t="s">
        <v>372</v>
      </c>
      <c r="I30" s="392" t="s">
        <v>358</v>
      </c>
      <c r="J30" s="81">
        <v>112.86</v>
      </c>
    </row>
    <row r="31" spans="2:10">
      <c r="B31" s="392" t="str">
        <f>Table1[[#This Row],[Cost Center Name]]&amp;Table1[[#This Row],[Job Name]]&amp;" "&amp;"-"&amp;" "&amp;Table1[[#This Row],[Job Code]]</f>
        <v>AS Agile BofAAgile Delivery.QA Engineer - 100016</v>
      </c>
      <c r="C31" s="392" t="s">
        <v>354</v>
      </c>
      <c r="D31" s="392" t="s">
        <v>185</v>
      </c>
      <c r="E31" s="392" t="s">
        <v>355</v>
      </c>
      <c r="F31" s="81" t="s">
        <v>384</v>
      </c>
      <c r="G31" s="81">
        <v>100016</v>
      </c>
      <c r="H31" s="392" t="s">
        <v>373</v>
      </c>
      <c r="I31" s="392" t="s">
        <v>358</v>
      </c>
      <c r="J31" s="81">
        <v>110.88</v>
      </c>
    </row>
    <row r="32" spans="2:10">
      <c r="B32" s="392" t="str">
        <f>Table1[[#This Row],[Cost Center Name]]&amp;Table1[[#This Row],[Job Name]]&amp;" "&amp;"-"&amp;" "&amp;Table1[[#This Row],[Job Code]]</f>
        <v>AS Agile BofAAgile Delivery.Software Engineer - 100018</v>
      </c>
      <c r="C32" s="392" t="s">
        <v>354</v>
      </c>
      <c r="D32" s="392" t="s">
        <v>185</v>
      </c>
      <c r="E32" s="392" t="s">
        <v>355</v>
      </c>
      <c r="F32" s="81" t="s">
        <v>384</v>
      </c>
      <c r="G32" s="81">
        <v>100018</v>
      </c>
      <c r="H32" s="392" t="s">
        <v>374</v>
      </c>
      <c r="I32" s="392" t="s">
        <v>358</v>
      </c>
      <c r="J32" s="81">
        <v>136.62</v>
      </c>
    </row>
    <row r="33" spans="2:10">
      <c r="B33" s="392" t="str">
        <f>Table1[[#This Row],[Cost Center Name]]&amp;Table1[[#This Row],[Job Name]]&amp;" "&amp;"-"&amp;" "&amp;Table1[[#This Row],[Job Code]]</f>
        <v>AS Agile BofAAgile Delivery.UX Frontend Engineer - 100021</v>
      </c>
      <c r="C33" s="392" t="s">
        <v>354</v>
      </c>
      <c r="D33" s="392" t="s">
        <v>185</v>
      </c>
      <c r="E33" s="392" t="s">
        <v>355</v>
      </c>
      <c r="F33" s="81" t="s">
        <v>384</v>
      </c>
      <c r="G33" s="81">
        <v>100021</v>
      </c>
      <c r="H33" s="392" t="s">
        <v>375</v>
      </c>
      <c r="I33" s="392" t="s">
        <v>358</v>
      </c>
      <c r="J33" s="81">
        <v>118.8</v>
      </c>
    </row>
    <row r="34" spans="2:10">
      <c r="B34" s="392" t="str">
        <f>Table1[[#This Row],[Cost Center Name]]&amp;Table1[[#This Row],[Job Name]]&amp;" "&amp;"-"&amp;" "&amp;Table1[[#This Row],[Job Code]]</f>
        <v>AS Agile BofADigital.Sr Creative Consultant - 100304</v>
      </c>
      <c r="C34" s="392" t="s">
        <v>354</v>
      </c>
      <c r="D34" s="392" t="s">
        <v>185</v>
      </c>
      <c r="E34" s="392" t="s">
        <v>355</v>
      </c>
      <c r="F34" s="81" t="s">
        <v>384</v>
      </c>
      <c r="G34" s="81">
        <v>100304</v>
      </c>
      <c r="H34" s="392" t="s">
        <v>377</v>
      </c>
      <c r="I34" s="392" t="s">
        <v>358</v>
      </c>
      <c r="J34" s="81">
        <v>112.86</v>
      </c>
    </row>
    <row r="35" spans="2:10">
      <c r="B35" s="392" t="str">
        <f>Table1[[#This Row],[Cost Center Name]]&amp;Table1[[#This Row],[Job Name]]&amp;" "&amp;"-"&amp;" "&amp;Table1[[#This Row],[Job Code]]</f>
        <v>AS Agile BofAAgile Delivery.DeliveryLeader - 100309</v>
      </c>
      <c r="C35" s="392" t="s">
        <v>354</v>
      </c>
      <c r="D35" s="392" t="s">
        <v>185</v>
      </c>
      <c r="E35" s="392" t="s">
        <v>355</v>
      </c>
      <c r="F35" s="81" t="s">
        <v>384</v>
      </c>
      <c r="G35" s="81">
        <v>100309</v>
      </c>
      <c r="H35" s="392" t="s">
        <v>378</v>
      </c>
      <c r="I35" s="392" t="s">
        <v>358</v>
      </c>
      <c r="J35" s="81">
        <v>176.22</v>
      </c>
    </row>
    <row r="36" spans="2:10">
      <c r="B36" s="392" t="str">
        <f>Table1[[#This Row],[Cost Center Name]]&amp;Table1[[#This Row],[Job Name]]&amp;" "&amp;"-"&amp;" "&amp;Table1[[#This Row],[Job Code]]</f>
        <v>AS Agile BofAAgile Delivery.DevOps Engineer - 100310</v>
      </c>
      <c r="C36" s="392" t="s">
        <v>354</v>
      </c>
      <c r="D36" s="392" t="s">
        <v>185</v>
      </c>
      <c r="E36" s="392" t="s">
        <v>355</v>
      </c>
      <c r="F36" s="81" t="s">
        <v>384</v>
      </c>
      <c r="G36" s="81">
        <v>100310</v>
      </c>
      <c r="H36" s="392" t="s">
        <v>383</v>
      </c>
      <c r="I36" s="392" t="s">
        <v>358</v>
      </c>
      <c r="J36" s="81">
        <v>146.52000000000001</v>
      </c>
    </row>
    <row r="37" spans="2:10">
      <c r="B37" s="392" t="str">
        <f>Table1[[#This Row],[Cost Center Name]]&amp;Table1[[#This Row],[Job Name]]&amp;" "&amp;"-"&amp;" "&amp;Table1[[#This Row],[Job Code]]</f>
        <v>AS Agile BW 80pctAgile Delivery.QA Analyst - 100015</v>
      </c>
      <c r="C37" s="392" t="s">
        <v>354</v>
      </c>
      <c r="D37" s="392" t="s">
        <v>185</v>
      </c>
      <c r="E37" s="392" t="s">
        <v>355</v>
      </c>
      <c r="F37" s="81" t="s">
        <v>385</v>
      </c>
      <c r="G37" s="81">
        <v>100015</v>
      </c>
      <c r="H37" s="392" t="s">
        <v>372</v>
      </c>
      <c r="I37" s="392" t="s">
        <v>358</v>
      </c>
      <c r="J37" s="81">
        <v>105.45</v>
      </c>
    </row>
    <row r="38" spans="2:10">
      <c r="B38" s="392" t="str">
        <f>Table1[[#This Row],[Cost Center Name]]&amp;Table1[[#This Row],[Job Name]]&amp;" "&amp;"-"&amp;" "&amp;Table1[[#This Row],[Job Code]]</f>
        <v>AS Agile BW 80pctAgile Delivery.Software Engineer - 100018</v>
      </c>
      <c r="C38" s="392" t="s">
        <v>354</v>
      </c>
      <c r="D38" s="392" t="s">
        <v>185</v>
      </c>
      <c r="E38" s="392" t="s">
        <v>355</v>
      </c>
      <c r="F38" s="81" t="s">
        <v>385</v>
      </c>
      <c r="G38" s="81">
        <v>100018</v>
      </c>
      <c r="H38" s="392" t="s">
        <v>374</v>
      </c>
      <c r="I38" s="392" t="s">
        <v>358</v>
      </c>
      <c r="J38" s="81">
        <v>127.65</v>
      </c>
    </row>
    <row r="39" spans="2:10">
      <c r="B39" s="392" t="str">
        <f>Table1[[#This Row],[Cost Center Name]]&amp;Table1[[#This Row],[Job Name]]&amp;" "&amp;"-"&amp;" "&amp;Table1[[#This Row],[Job Code]]</f>
        <v>AS Agile BW 80pctAgile Delivery.DevOps Engineer - 100310</v>
      </c>
      <c r="C39" s="392" t="s">
        <v>354</v>
      </c>
      <c r="D39" s="392" t="s">
        <v>185</v>
      </c>
      <c r="E39" s="392" t="s">
        <v>355</v>
      </c>
      <c r="F39" s="81" t="s">
        <v>385</v>
      </c>
      <c r="G39" s="81">
        <v>100310</v>
      </c>
      <c r="H39" s="392" t="s">
        <v>383</v>
      </c>
      <c r="I39" s="392" t="s">
        <v>358</v>
      </c>
      <c r="J39" s="81">
        <v>136.9</v>
      </c>
    </row>
    <row r="40" spans="2:10">
      <c r="B40" s="392" t="str">
        <f>Table1[[#This Row],[Cost Center Name]]&amp;Table1[[#This Row],[Job Name]]&amp;" "&amp;"-"&amp;" "&amp;Table1[[#This Row],[Job Code]]</f>
        <v>AS Agile EDJ 75pctAgile Delivery.Coach - 100010</v>
      </c>
      <c r="C40" s="392" t="s">
        <v>354</v>
      </c>
      <c r="D40" s="392" t="s">
        <v>185</v>
      </c>
      <c r="E40" s="392" t="s">
        <v>355</v>
      </c>
      <c r="F40" s="81" t="s">
        <v>386</v>
      </c>
      <c r="G40" s="81">
        <v>100010</v>
      </c>
      <c r="H40" s="392" t="s">
        <v>387</v>
      </c>
      <c r="I40" s="392" t="s">
        <v>358</v>
      </c>
      <c r="J40" s="81">
        <v>172.26</v>
      </c>
    </row>
    <row r="41" spans="2:10">
      <c r="B41" s="392" t="str">
        <f>Table1[[#This Row],[Cost Center Name]]&amp;Table1[[#This Row],[Job Name]]&amp;" "&amp;"-"&amp;" "&amp;Table1[[#This Row],[Job Code]]</f>
        <v>AS Agile EDJ 75pctAgile Delivery.Product Owner - 100014</v>
      </c>
      <c r="C41" s="392" t="s">
        <v>354</v>
      </c>
      <c r="D41" s="392" t="s">
        <v>185</v>
      </c>
      <c r="E41" s="392" t="s">
        <v>355</v>
      </c>
      <c r="F41" s="81" t="s">
        <v>386</v>
      </c>
      <c r="G41" s="81">
        <v>100014</v>
      </c>
      <c r="H41" s="392" t="s">
        <v>359</v>
      </c>
      <c r="I41" s="392" t="s">
        <v>358</v>
      </c>
      <c r="J41" s="81">
        <v>138.6</v>
      </c>
    </row>
    <row r="42" spans="2:10">
      <c r="B42" s="392" t="str">
        <f>Table1[[#This Row],[Cost Center Name]]&amp;Table1[[#This Row],[Job Name]]&amp;" "&amp;"-"&amp;" "&amp;Table1[[#This Row],[Job Code]]</f>
        <v>AS Agile EDJ 75pctAgile Delivery.QA Engineer - 100016</v>
      </c>
      <c r="C42" s="392" t="s">
        <v>354</v>
      </c>
      <c r="D42" s="392" t="s">
        <v>185</v>
      </c>
      <c r="E42" s="392" t="s">
        <v>355</v>
      </c>
      <c r="F42" s="81" t="s">
        <v>386</v>
      </c>
      <c r="G42" s="81">
        <v>100016</v>
      </c>
      <c r="H42" s="392" t="s">
        <v>373</v>
      </c>
      <c r="I42" s="392" t="s">
        <v>358</v>
      </c>
      <c r="J42" s="81">
        <v>110.88</v>
      </c>
    </row>
    <row r="43" spans="2:10">
      <c r="B43" s="392" t="str">
        <f>Table1[[#This Row],[Cost Center Name]]&amp;Table1[[#This Row],[Job Name]]&amp;" "&amp;"-"&amp;" "&amp;Table1[[#This Row],[Job Code]]</f>
        <v>AS Agile EDJ 75pctAgile Delivery.Software Engineer - 100018</v>
      </c>
      <c r="C43" s="392" t="s">
        <v>354</v>
      </c>
      <c r="D43" s="392" t="s">
        <v>185</v>
      </c>
      <c r="E43" s="392" t="s">
        <v>355</v>
      </c>
      <c r="F43" s="81" t="s">
        <v>386</v>
      </c>
      <c r="G43" s="81">
        <v>100018</v>
      </c>
      <c r="H43" s="392" t="s">
        <v>374</v>
      </c>
      <c r="I43" s="392" t="s">
        <v>358</v>
      </c>
      <c r="J43" s="81">
        <v>136.62</v>
      </c>
    </row>
    <row r="44" spans="2:10">
      <c r="B44" s="392" t="str">
        <f>Table1[[#This Row],[Cost Center Name]]&amp;Table1[[#This Row],[Job Name]]&amp;" "&amp;"-"&amp;" "&amp;Table1[[#This Row],[Job Code]]</f>
        <v>AS Agile EHIAgile Delivery.Business Analyst - 100009</v>
      </c>
      <c r="C44" s="392" t="s">
        <v>354</v>
      </c>
      <c r="D44" s="392" t="s">
        <v>185</v>
      </c>
      <c r="E44" s="392" t="s">
        <v>355</v>
      </c>
      <c r="F44" s="81" t="s">
        <v>388</v>
      </c>
      <c r="G44" s="81">
        <v>100009</v>
      </c>
      <c r="H44" s="392" t="s">
        <v>370</v>
      </c>
      <c r="I44" s="392" t="s">
        <v>358</v>
      </c>
      <c r="J44" s="81">
        <v>122.1</v>
      </c>
    </row>
    <row r="45" spans="2:10">
      <c r="B45" s="392" t="str">
        <f>Table1[[#This Row],[Cost Center Name]]&amp;Table1[[#This Row],[Job Name]]&amp;" "&amp;"-"&amp;" "&amp;Table1[[#This Row],[Job Code]]</f>
        <v>AS Agile EHIDigital.Creative Consultant - 100266</v>
      </c>
      <c r="C45" s="392" t="s">
        <v>354</v>
      </c>
      <c r="D45" s="392" t="s">
        <v>185</v>
      </c>
      <c r="E45" s="392" t="s">
        <v>355</v>
      </c>
      <c r="F45" s="81" t="s">
        <v>388</v>
      </c>
      <c r="G45" s="81">
        <v>100266</v>
      </c>
      <c r="H45" s="392" t="s">
        <v>389</v>
      </c>
      <c r="I45" s="392" t="s">
        <v>358</v>
      </c>
      <c r="J45" s="81">
        <v>75.849999999999994</v>
      </c>
    </row>
    <row r="46" spans="2:10">
      <c r="B46" s="392" t="str">
        <f>Table1[[#This Row],[Cost Center Name]]&amp;Table1[[#This Row],[Job Name]]&amp;" "&amp;"-"&amp;" "&amp;Table1[[#This Row],[Job Code]]</f>
        <v>AS Agile EPICAgile Delivery.Product Owner - 100014</v>
      </c>
      <c r="C46" s="392" t="s">
        <v>354</v>
      </c>
      <c r="D46" s="392" t="s">
        <v>185</v>
      </c>
      <c r="E46" s="392" t="s">
        <v>355</v>
      </c>
      <c r="F46" s="81" t="s">
        <v>390</v>
      </c>
      <c r="G46" s="81">
        <v>100014</v>
      </c>
      <c r="H46" s="392" t="s">
        <v>359</v>
      </c>
      <c r="I46" s="392" t="s">
        <v>358</v>
      </c>
      <c r="J46" s="81">
        <v>138.6</v>
      </c>
    </row>
    <row r="47" spans="2:10">
      <c r="B47" s="392" t="str">
        <f>Table1[[#This Row],[Cost Center Name]]&amp;Table1[[#This Row],[Job Name]]&amp;" "&amp;"-"&amp;" "&amp;Table1[[#This Row],[Job Code]]</f>
        <v>AS Agile EPICAgile Delivery.QA Engineer - 100016</v>
      </c>
      <c r="C47" s="392" t="s">
        <v>354</v>
      </c>
      <c r="D47" s="392" t="s">
        <v>185</v>
      </c>
      <c r="E47" s="392" t="s">
        <v>355</v>
      </c>
      <c r="F47" s="81" t="s">
        <v>390</v>
      </c>
      <c r="G47" s="81">
        <v>100016</v>
      </c>
      <c r="H47" s="392" t="s">
        <v>373</v>
      </c>
      <c r="I47" s="392" t="s">
        <v>358</v>
      </c>
      <c r="J47" s="81">
        <v>110.88</v>
      </c>
    </row>
    <row r="48" spans="2:10">
      <c r="B48" s="392" t="str">
        <f>Table1[[#This Row],[Cost Center Name]]&amp;Table1[[#This Row],[Job Name]]&amp;" "&amp;"-"&amp;" "&amp;Table1[[#This Row],[Job Code]]</f>
        <v>AS Agile EPICAgile Delivery.Software Engineer - 100018</v>
      </c>
      <c r="C48" s="392" t="s">
        <v>354</v>
      </c>
      <c r="D48" s="392" t="s">
        <v>185</v>
      </c>
      <c r="E48" s="392" t="s">
        <v>355</v>
      </c>
      <c r="F48" s="81" t="s">
        <v>390</v>
      </c>
      <c r="G48" s="81">
        <v>100018</v>
      </c>
      <c r="H48" s="392" t="s">
        <v>374</v>
      </c>
      <c r="I48" s="392" t="s">
        <v>358</v>
      </c>
      <c r="J48" s="81">
        <v>136.62</v>
      </c>
    </row>
    <row r="49" spans="2:10">
      <c r="B49" s="392" t="str">
        <f>Table1[[#This Row],[Cost Center Name]]&amp;Table1[[#This Row],[Job Name]]&amp;" "&amp;"-"&amp;" "&amp;Table1[[#This Row],[Job Code]]</f>
        <v>AS Agile EPICAgile Delivery.UX Frontend Engineer - 100021</v>
      </c>
      <c r="C49" s="392" t="s">
        <v>354</v>
      </c>
      <c r="D49" s="392" t="s">
        <v>185</v>
      </c>
      <c r="E49" s="392" t="s">
        <v>355</v>
      </c>
      <c r="F49" s="81" t="s">
        <v>390</v>
      </c>
      <c r="G49" s="81">
        <v>100021</v>
      </c>
      <c r="H49" s="392" t="s">
        <v>375</v>
      </c>
      <c r="I49" s="392" t="s">
        <v>358</v>
      </c>
      <c r="J49" s="81">
        <v>118.8</v>
      </c>
    </row>
    <row r="50" spans="2:10">
      <c r="B50" s="392" t="str">
        <f>Table1[[#This Row],[Cost Center Name]]&amp;Table1[[#This Row],[Job Name]]&amp;" "&amp;"-"&amp;" "&amp;Table1[[#This Row],[Job Code]]</f>
        <v>AS Agile EPICDigital.Creative Consultant - 100266</v>
      </c>
      <c r="C50" s="392" t="s">
        <v>354</v>
      </c>
      <c r="D50" s="392" t="s">
        <v>185</v>
      </c>
      <c r="E50" s="392" t="s">
        <v>355</v>
      </c>
      <c r="F50" s="81" t="s">
        <v>390</v>
      </c>
      <c r="G50" s="81">
        <v>100266</v>
      </c>
      <c r="H50" s="392" t="s">
        <v>389</v>
      </c>
      <c r="I50" s="392" t="s">
        <v>358</v>
      </c>
      <c r="J50" s="81">
        <v>81.180000000000007</v>
      </c>
    </row>
    <row r="51" spans="2:10">
      <c r="B51" s="392" t="str">
        <f>Table1[[#This Row],[Cost Center Name]]&amp;Table1[[#This Row],[Job Name]]&amp;" "&amp;"-"&amp;" "&amp;Table1[[#This Row],[Job Code]]</f>
        <v>AS Agile EPICAgile Delivery.DeliveryLeader - 100309</v>
      </c>
      <c r="C51" s="392" t="s">
        <v>354</v>
      </c>
      <c r="D51" s="392" t="s">
        <v>185</v>
      </c>
      <c r="E51" s="392" t="s">
        <v>355</v>
      </c>
      <c r="F51" s="81" t="s">
        <v>390</v>
      </c>
      <c r="G51" s="81">
        <v>100309</v>
      </c>
      <c r="H51" s="392" t="s">
        <v>378</v>
      </c>
      <c r="I51" s="392" t="s">
        <v>358</v>
      </c>
      <c r="J51" s="81">
        <v>176.22</v>
      </c>
    </row>
    <row r="52" spans="2:10">
      <c r="B52" s="392" t="str">
        <f>Table1[[#This Row],[Cost Center Name]]&amp;Table1[[#This Row],[Job Name]]&amp;" "&amp;"-"&amp;" "&amp;Table1[[#This Row],[Job Code]]</f>
        <v>AS Agile HNB 80pctAgile Delivery.QA Analyst - 100015</v>
      </c>
      <c r="C52" s="392" t="s">
        <v>354</v>
      </c>
      <c r="D52" s="392" t="s">
        <v>185</v>
      </c>
      <c r="E52" s="392" t="s">
        <v>355</v>
      </c>
      <c r="F52" s="81" t="s">
        <v>391</v>
      </c>
      <c r="G52" s="81">
        <v>100015</v>
      </c>
      <c r="H52" s="392" t="s">
        <v>372</v>
      </c>
      <c r="I52" s="392" t="s">
        <v>358</v>
      </c>
      <c r="J52" s="81">
        <v>105.45</v>
      </c>
    </row>
    <row r="53" spans="2:10">
      <c r="B53" s="392" t="str">
        <f>Table1[[#This Row],[Cost Center Name]]&amp;Table1[[#This Row],[Job Name]]&amp;" "&amp;"-"&amp;" "&amp;Table1[[#This Row],[Job Code]]</f>
        <v>AS Agile HNB 80pctAgile Delivery.QA Engineer - 100016</v>
      </c>
      <c r="C53" s="392" t="s">
        <v>354</v>
      </c>
      <c r="D53" s="392" t="s">
        <v>185</v>
      </c>
      <c r="E53" s="392" t="s">
        <v>355</v>
      </c>
      <c r="F53" s="81" t="s">
        <v>391</v>
      </c>
      <c r="G53" s="81">
        <v>100016</v>
      </c>
      <c r="H53" s="392" t="s">
        <v>373</v>
      </c>
      <c r="I53" s="392" t="s">
        <v>358</v>
      </c>
      <c r="J53" s="81">
        <v>103.6</v>
      </c>
    </row>
    <row r="54" spans="2:10">
      <c r="B54" s="392" t="str">
        <f>Table1[[#This Row],[Cost Center Name]]&amp;Table1[[#This Row],[Job Name]]&amp;" "&amp;"-"&amp;" "&amp;Table1[[#This Row],[Job Code]]</f>
        <v>AS Agile HNB 80pctAgile Delivery.Software Engineer - 100018</v>
      </c>
      <c r="C54" s="392" t="s">
        <v>354</v>
      </c>
      <c r="D54" s="392" t="s">
        <v>185</v>
      </c>
      <c r="E54" s="392" t="s">
        <v>355</v>
      </c>
      <c r="F54" s="81" t="s">
        <v>391</v>
      </c>
      <c r="G54" s="81">
        <v>100018</v>
      </c>
      <c r="H54" s="392" t="s">
        <v>374</v>
      </c>
      <c r="I54" s="392" t="s">
        <v>358</v>
      </c>
      <c r="J54" s="81">
        <v>127.65</v>
      </c>
    </row>
    <row r="55" spans="2:10">
      <c r="B55" s="392" t="str">
        <f>Table1[[#This Row],[Cost Center Name]]&amp;Table1[[#This Row],[Job Name]]&amp;" "&amp;"-"&amp;" "&amp;Table1[[#This Row],[Job Code]]</f>
        <v>AS Agile JM 80pctAgile Delivery.Product Owner - 100014</v>
      </c>
      <c r="C55" s="392" t="s">
        <v>354</v>
      </c>
      <c r="D55" s="392" t="s">
        <v>185</v>
      </c>
      <c r="E55" s="392" t="s">
        <v>355</v>
      </c>
      <c r="F55" s="81" t="s">
        <v>392</v>
      </c>
      <c r="G55" s="81">
        <v>100014</v>
      </c>
      <c r="H55" s="392" t="s">
        <v>359</v>
      </c>
      <c r="I55" s="392" t="s">
        <v>358</v>
      </c>
      <c r="J55" s="81">
        <v>138.6</v>
      </c>
    </row>
    <row r="56" spans="2:10">
      <c r="B56" s="392" t="str">
        <f>Table1[[#This Row],[Cost Center Name]]&amp;Table1[[#This Row],[Job Name]]&amp;" "&amp;"-"&amp;" "&amp;Table1[[#This Row],[Job Code]]</f>
        <v>AS Agile JM 80pctAgile Delivery.QA Engineer - 100016</v>
      </c>
      <c r="C56" s="392" t="s">
        <v>354</v>
      </c>
      <c r="D56" s="392" t="s">
        <v>185</v>
      </c>
      <c r="E56" s="392" t="s">
        <v>355</v>
      </c>
      <c r="F56" s="81" t="s">
        <v>392</v>
      </c>
      <c r="G56" s="81">
        <v>100016</v>
      </c>
      <c r="H56" s="392" t="s">
        <v>373</v>
      </c>
      <c r="I56" s="392" t="s">
        <v>358</v>
      </c>
      <c r="J56" s="81">
        <v>110.88</v>
      </c>
    </row>
    <row r="57" spans="2:10">
      <c r="B57" s="392" t="str">
        <f>Table1[[#This Row],[Cost Center Name]]&amp;Table1[[#This Row],[Job Name]]&amp;" "&amp;"-"&amp;" "&amp;Table1[[#This Row],[Job Code]]</f>
        <v>AS Agile JM 80pctAgile Delivery.Software Engineer - 100018</v>
      </c>
      <c r="C57" s="392" t="s">
        <v>354</v>
      </c>
      <c r="D57" s="392" t="s">
        <v>185</v>
      </c>
      <c r="E57" s="392" t="s">
        <v>355</v>
      </c>
      <c r="F57" s="81" t="s">
        <v>392</v>
      </c>
      <c r="G57" s="81">
        <v>100018</v>
      </c>
      <c r="H57" s="392" t="s">
        <v>374</v>
      </c>
      <c r="I57" s="392" t="s">
        <v>358</v>
      </c>
      <c r="J57" s="81">
        <v>136.62</v>
      </c>
    </row>
    <row r="58" spans="2:10">
      <c r="B58" s="392" t="str">
        <f>Table1[[#This Row],[Cost Center Name]]&amp;Table1[[#This Row],[Job Name]]&amp;" "&amp;"-"&amp;" "&amp;Table1[[#This Row],[Job Code]]</f>
        <v>AS Agile JM 80pctAgile Delivery.DeliveryLeader - 100309</v>
      </c>
      <c r="C58" s="392" t="s">
        <v>354</v>
      </c>
      <c r="D58" s="392" t="s">
        <v>185</v>
      </c>
      <c r="E58" s="392" t="s">
        <v>355</v>
      </c>
      <c r="F58" s="81" t="s">
        <v>392</v>
      </c>
      <c r="G58" s="81">
        <v>100309</v>
      </c>
      <c r="H58" s="392" t="s">
        <v>378</v>
      </c>
      <c r="I58" s="392" t="s">
        <v>358</v>
      </c>
      <c r="J58" s="81">
        <v>176.22</v>
      </c>
    </row>
    <row r="59" spans="2:10">
      <c r="B59" s="392" t="str">
        <f>Table1[[#This Row],[Cost Center Name]]&amp;Table1[[#This Row],[Job Name]]&amp;" "&amp;"-"&amp;" "&amp;Table1[[#This Row],[Job Code]]</f>
        <v>AS Agile Kingdom CapitalAgile Delivery.Software Engineer - 100018</v>
      </c>
      <c r="C59" s="392" t="s">
        <v>354</v>
      </c>
      <c r="D59" s="392" t="s">
        <v>185</v>
      </c>
      <c r="E59" s="392" t="s">
        <v>355</v>
      </c>
      <c r="F59" s="81" t="s">
        <v>393</v>
      </c>
      <c r="G59" s="81">
        <v>100018</v>
      </c>
      <c r="H59" s="392" t="s">
        <v>374</v>
      </c>
      <c r="I59" s="392" t="s">
        <v>358</v>
      </c>
      <c r="J59" s="81">
        <v>127.65</v>
      </c>
    </row>
    <row r="60" spans="2:10">
      <c r="B60" s="392" t="str">
        <f>Table1[[#This Row],[Cost Center Name]]&amp;Table1[[#This Row],[Job Name]]&amp;" "&amp;"-"&amp;" "&amp;Table1[[#This Row],[Job Code]]</f>
        <v>AS Agile Kingdom CapitalAgile Delivery.DevOps Engineer - 100310</v>
      </c>
      <c r="C60" s="392" t="s">
        <v>354</v>
      </c>
      <c r="D60" s="392" t="s">
        <v>185</v>
      </c>
      <c r="E60" s="392" t="s">
        <v>355</v>
      </c>
      <c r="F60" s="81" t="s">
        <v>393</v>
      </c>
      <c r="G60" s="81">
        <v>100310</v>
      </c>
      <c r="H60" s="392" t="s">
        <v>383</v>
      </c>
      <c r="I60" s="392" t="s">
        <v>358</v>
      </c>
      <c r="J60" s="81">
        <v>136.9</v>
      </c>
    </row>
    <row r="61" spans="2:10">
      <c r="B61" s="392" t="str">
        <f>Table1[[#This Row],[Cost Center Name]]&amp;Table1[[#This Row],[Job Name]]&amp;" "&amp;"-"&amp;" "&amp;Table1[[#This Row],[Job Code]]</f>
        <v>AS Agile MS DOEAgile Delivery.Software Engineer - 100018</v>
      </c>
      <c r="C61" s="392" t="s">
        <v>354</v>
      </c>
      <c r="D61" s="392" t="s">
        <v>185</v>
      </c>
      <c r="E61" s="392" t="s">
        <v>355</v>
      </c>
      <c r="F61" s="81" t="s">
        <v>394</v>
      </c>
      <c r="G61" s="81">
        <v>100018</v>
      </c>
      <c r="H61" s="392" t="s">
        <v>374</v>
      </c>
      <c r="I61" s="392" t="s">
        <v>358</v>
      </c>
      <c r="J61" s="81">
        <v>127.65</v>
      </c>
    </row>
    <row r="62" spans="2:10">
      <c r="B62" s="392" t="str">
        <f>Table1[[#This Row],[Cost Center Name]]&amp;Table1[[#This Row],[Job Name]]&amp;" "&amp;"-"&amp;" "&amp;Table1[[#This Row],[Job Code]]</f>
        <v>AS Agile MS DOEDigital.Creative Consultant - 100266</v>
      </c>
      <c r="C62" s="392" t="s">
        <v>354</v>
      </c>
      <c r="D62" s="392" t="s">
        <v>185</v>
      </c>
      <c r="E62" s="392" t="s">
        <v>355</v>
      </c>
      <c r="F62" s="81" t="s">
        <v>394</v>
      </c>
      <c r="G62" s="81">
        <v>100266</v>
      </c>
      <c r="H62" s="392" t="s">
        <v>389</v>
      </c>
      <c r="I62" s="392" t="s">
        <v>358</v>
      </c>
      <c r="J62" s="81">
        <v>75.849999999999994</v>
      </c>
    </row>
    <row r="63" spans="2:10">
      <c r="B63" s="392" t="str">
        <f>Table1[[#This Row],[Cost Center Name]]&amp;Table1[[#This Row],[Job Name]]&amp;" "&amp;"-"&amp;" "&amp;Table1[[#This Row],[Job Code]]</f>
        <v>AS Agile MS DOEAgile Delivery.DeliveryLeader - 100309</v>
      </c>
      <c r="C63" s="392" t="s">
        <v>354</v>
      </c>
      <c r="D63" s="392" t="s">
        <v>185</v>
      </c>
      <c r="E63" s="392" t="s">
        <v>355</v>
      </c>
      <c r="F63" s="81" t="s">
        <v>394</v>
      </c>
      <c r="G63" s="81">
        <v>100309</v>
      </c>
      <c r="H63" s="392" t="s">
        <v>378</v>
      </c>
      <c r="I63" s="392" t="s">
        <v>358</v>
      </c>
      <c r="J63" s="81">
        <v>164.65</v>
      </c>
    </row>
    <row r="64" spans="2:10">
      <c r="B64" s="392" t="str">
        <f>Table1[[#This Row],[Cost Center Name]]&amp;Table1[[#This Row],[Job Name]]&amp;" "&amp;"-"&amp;" "&amp;Table1[[#This Row],[Job Code]]</f>
        <v>AS Agile MS DOEAgile Delivery.DevOps Engineer - 100310</v>
      </c>
      <c r="C64" s="392" t="s">
        <v>354</v>
      </c>
      <c r="D64" s="392" t="s">
        <v>185</v>
      </c>
      <c r="E64" s="392" t="s">
        <v>355</v>
      </c>
      <c r="F64" s="81" t="s">
        <v>394</v>
      </c>
      <c r="G64" s="81">
        <v>100310</v>
      </c>
      <c r="H64" s="392" t="s">
        <v>383</v>
      </c>
      <c r="I64" s="392" t="s">
        <v>358</v>
      </c>
      <c r="J64" s="81">
        <v>136.9</v>
      </c>
    </row>
    <row r="65" spans="2:10">
      <c r="B65" s="392" t="str">
        <f>Table1[[#This Row],[Cost Center Name]]&amp;Table1[[#This Row],[Job Name]]&amp;" "&amp;"-"&amp;" "&amp;Table1[[#This Row],[Job Code]]</f>
        <v>AS Agile Schnucks 80pctAgile Delivery.QA Engineer - 100016</v>
      </c>
      <c r="C65" s="392" t="s">
        <v>354</v>
      </c>
      <c r="D65" s="392" t="s">
        <v>185</v>
      </c>
      <c r="E65" s="392" t="s">
        <v>355</v>
      </c>
      <c r="F65" s="81" t="s">
        <v>395</v>
      </c>
      <c r="G65" s="81">
        <v>100016</v>
      </c>
      <c r="H65" s="392" t="s">
        <v>373</v>
      </c>
      <c r="I65" s="392" t="s">
        <v>358</v>
      </c>
      <c r="J65" s="81">
        <v>103.6</v>
      </c>
    </row>
    <row r="66" spans="2:10">
      <c r="B66" s="392" t="str">
        <f>Table1[[#This Row],[Cost Center Name]]&amp;Table1[[#This Row],[Job Name]]&amp;" "&amp;"-"&amp;" "&amp;Table1[[#This Row],[Job Code]]</f>
        <v>AS Agile Schnucks 80pctAgile Delivery.Software Engineer - 100018</v>
      </c>
      <c r="C66" s="392" t="s">
        <v>354</v>
      </c>
      <c r="D66" s="392" t="s">
        <v>185</v>
      </c>
      <c r="E66" s="392" t="s">
        <v>355</v>
      </c>
      <c r="F66" s="81" t="s">
        <v>395</v>
      </c>
      <c r="G66" s="81">
        <v>100018</v>
      </c>
      <c r="H66" s="392" t="s">
        <v>374</v>
      </c>
      <c r="I66" s="392" t="s">
        <v>358</v>
      </c>
      <c r="J66" s="81">
        <v>127.65</v>
      </c>
    </row>
    <row r="67" spans="2:10">
      <c r="B67" s="392" t="str">
        <f>Table1[[#This Row],[Cost Center Name]]&amp;Table1[[#This Row],[Job Name]]&amp;" "&amp;"-"&amp;" "&amp;Table1[[#This Row],[Job Code]]</f>
        <v>AS Agile StifelAgile Delivery.QA Engineer - 100016</v>
      </c>
      <c r="C67" s="392" t="s">
        <v>354</v>
      </c>
      <c r="D67" s="392" t="s">
        <v>185</v>
      </c>
      <c r="E67" s="392" t="s">
        <v>355</v>
      </c>
      <c r="F67" s="81" t="s">
        <v>396</v>
      </c>
      <c r="G67" s="81">
        <v>100016</v>
      </c>
      <c r="H67" s="392" t="s">
        <v>373</v>
      </c>
      <c r="I67" s="392" t="s">
        <v>358</v>
      </c>
      <c r="J67" s="81">
        <v>110.88</v>
      </c>
    </row>
    <row r="68" spans="2:10">
      <c r="B68" s="392" t="str">
        <f>Table1[[#This Row],[Cost Center Name]]&amp;Table1[[#This Row],[Job Name]]&amp;" "&amp;"-"&amp;" "&amp;Table1[[#This Row],[Job Code]]</f>
        <v>AS Agile StifelAgile Delivery.Software Engineer - 100018</v>
      </c>
      <c r="C68" s="392" t="s">
        <v>354</v>
      </c>
      <c r="D68" s="392" t="s">
        <v>185</v>
      </c>
      <c r="E68" s="392" t="s">
        <v>355</v>
      </c>
      <c r="F68" s="81" t="s">
        <v>396</v>
      </c>
      <c r="G68" s="81">
        <v>100018</v>
      </c>
      <c r="H68" s="392" t="s">
        <v>374</v>
      </c>
      <c r="I68" s="392" t="s">
        <v>358</v>
      </c>
      <c r="J68" s="81">
        <v>136.62</v>
      </c>
    </row>
    <row r="69" spans="2:10">
      <c r="B69" s="392" t="str">
        <f>Table1[[#This Row],[Cost Center Name]]&amp;Table1[[#This Row],[Job Name]]&amp;" "&amp;"-"&amp;" "&amp;Table1[[#This Row],[Job Code]]</f>
        <v>AS Agile StifelDigital.Sr Creative Consultant - 100304</v>
      </c>
      <c r="C69" s="392" t="s">
        <v>354</v>
      </c>
      <c r="D69" s="392" t="s">
        <v>185</v>
      </c>
      <c r="E69" s="392" t="s">
        <v>355</v>
      </c>
      <c r="F69" s="81" t="s">
        <v>396</v>
      </c>
      <c r="G69" s="81">
        <v>100304</v>
      </c>
      <c r="H69" s="392" t="s">
        <v>377</v>
      </c>
      <c r="I69" s="392" t="s">
        <v>358</v>
      </c>
      <c r="J69" s="81">
        <v>112.86</v>
      </c>
    </row>
    <row r="70" spans="2:10">
      <c r="B70" s="392" t="str">
        <f>Table1[[#This Row],[Cost Center Name]]&amp;Table1[[#This Row],[Job Name]]&amp;" "&amp;"-"&amp;" "&amp;Table1[[#This Row],[Job Code]]</f>
        <v>AS Agile Wingstop 80pctAgile Delivery.Business Analyst - 100009</v>
      </c>
      <c r="C70" s="392" t="s">
        <v>354</v>
      </c>
      <c r="D70" s="392" t="s">
        <v>185</v>
      </c>
      <c r="E70" s="392" t="s">
        <v>355</v>
      </c>
      <c r="F70" s="81" t="s">
        <v>397</v>
      </c>
      <c r="G70" s="81">
        <v>100009</v>
      </c>
      <c r="H70" s="392" t="s">
        <v>370</v>
      </c>
      <c r="I70" s="392" t="s">
        <v>358</v>
      </c>
      <c r="J70" s="81">
        <v>122.1</v>
      </c>
    </row>
    <row r="71" spans="2:10">
      <c r="B71" s="392" t="str">
        <f>Table1[[#This Row],[Cost Center Name]]&amp;Table1[[#This Row],[Job Name]]&amp;" "&amp;"-"&amp;" "&amp;Table1[[#This Row],[Job Code]]</f>
        <v>AS Agile Wingstop 80pctAgile Delivery.Product Owner - 100014</v>
      </c>
      <c r="C71" s="392" t="s">
        <v>354</v>
      </c>
      <c r="D71" s="392" t="s">
        <v>185</v>
      </c>
      <c r="E71" s="392" t="s">
        <v>355</v>
      </c>
      <c r="F71" s="81" t="s">
        <v>397</v>
      </c>
      <c r="G71" s="81">
        <v>100014</v>
      </c>
      <c r="H71" s="392" t="s">
        <v>359</v>
      </c>
      <c r="I71" s="392" t="s">
        <v>358</v>
      </c>
      <c r="J71" s="81">
        <v>129.5</v>
      </c>
    </row>
    <row r="72" spans="2:10">
      <c r="B72" s="392" t="str">
        <f>Table1[[#This Row],[Cost Center Name]]&amp;Table1[[#This Row],[Job Name]]&amp;" "&amp;"-"&amp;" "&amp;Table1[[#This Row],[Job Code]]</f>
        <v>AS Agile Wingstop 80pctAgile Delivery.QA Analyst - 100015</v>
      </c>
      <c r="C72" s="392" t="s">
        <v>354</v>
      </c>
      <c r="D72" s="392" t="s">
        <v>185</v>
      </c>
      <c r="E72" s="392" t="s">
        <v>355</v>
      </c>
      <c r="F72" s="81" t="s">
        <v>397</v>
      </c>
      <c r="G72" s="81">
        <v>100015</v>
      </c>
      <c r="H72" s="392" t="s">
        <v>372</v>
      </c>
      <c r="I72" s="392" t="s">
        <v>358</v>
      </c>
      <c r="J72" s="81">
        <v>105.45</v>
      </c>
    </row>
    <row r="73" spans="2:10">
      <c r="B73" s="392" t="str">
        <f>Table1[[#This Row],[Cost Center Name]]&amp;Table1[[#This Row],[Job Name]]&amp;" "&amp;"-"&amp;" "&amp;Table1[[#This Row],[Job Code]]</f>
        <v>AS Agile Wingstop 80pctAgile Delivery.QA Engineer - 100016</v>
      </c>
      <c r="C73" s="392" t="s">
        <v>354</v>
      </c>
      <c r="D73" s="392" t="s">
        <v>185</v>
      </c>
      <c r="E73" s="392" t="s">
        <v>355</v>
      </c>
      <c r="F73" s="81" t="s">
        <v>397</v>
      </c>
      <c r="G73" s="81">
        <v>100016</v>
      </c>
      <c r="H73" s="392" t="s">
        <v>373</v>
      </c>
      <c r="I73" s="392" t="s">
        <v>358</v>
      </c>
      <c r="J73" s="81">
        <v>103.6</v>
      </c>
    </row>
    <row r="74" spans="2:10">
      <c r="B74" s="392" t="str">
        <f>Table1[[#This Row],[Cost Center Name]]&amp;Table1[[#This Row],[Job Name]]&amp;" "&amp;"-"&amp;" "&amp;Table1[[#This Row],[Job Code]]</f>
        <v>AS Agile Wingstop 80pctAgile Delivery.Software Engineer - 100018</v>
      </c>
      <c r="C74" s="392" t="s">
        <v>354</v>
      </c>
      <c r="D74" s="392" t="s">
        <v>185</v>
      </c>
      <c r="E74" s="392" t="s">
        <v>355</v>
      </c>
      <c r="F74" s="81" t="s">
        <v>397</v>
      </c>
      <c r="G74" s="81">
        <v>100018</v>
      </c>
      <c r="H74" s="392" t="s">
        <v>374</v>
      </c>
      <c r="I74" s="392" t="s">
        <v>358</v>
      </c>
      <c r="J74" s="81">
        <v>127.65</v>
      </c>
    </row>
    <row r="75" spans="2:10">
      <c r="B75" s="392" t="str">
        <f>Table1[[#This Row],[Cost Center Name]]&amp;Table1[[#This Row],[Job Name]]&amp;" "&amp;"-"&amp;" "&amp;Table1[[#This Row],[Job Code]]</f>
        <v>AS Agile Wingstop 80pctAgile Delivery.DeliveryLeader - 100309</v>
      </c>
      <c r="C75" s="392" t="s">
        <v>354</v>
      </c>
      <c r="D75" s="392" t="s">
        <v>185</v>
      </c>
      <c r="E75" s="392" t="s">
        <v>355</v>
      </c>
      <c r="F75" s="81" t="s">
        <v>397</v>
      </c>
      <c r="G75" s="81">
        <v>100309</v>
      </c>
      <c r="H75" s="392" t="s">
        <v>378</v>
      </c>
      <c r="I75" s="392" t="s">
        <v>358</v>
      </c>
      <c r="J75" s="81">
        <v>164.65</v>
      </c>
    </row>
    <row r="76" spans="2:10">
      <c r="B76" s="392" t="str">
        <f>Table1[[#This Row],[Cost Center Name]]&amp;Table1[[#This Row],[Job Name]]&amp;" "&amp;"-"&amp;" "&amp;Table1[[#This Row],[Job Code]]</f>
        <v>AS Consulting AKUSA 80pctAgile Delivery.Product Owner - 100014</v>
      </c>
      <c r="C76" s="392" t="s">
        <v>354</v>
      </c>
      <c r="D76" s="392" t="s">
        <v>185</v>
      </c>
      <c r="E76" s="392" t="s">
        <v>355</v>
      </c>
      <c r="F76" s="81" t="s">
        <v>398</v>
      </c>
      <c r="G76" s="81">
        <v>100014</v>
      </c>
      <c r="H76" s="392" t="s">
        <v>359</v>
      </c>
      <c r="I76" s="392" t="s">
        <v>358</v>
      </c>
      <c r="J76" s="81">
        <v>129.5</v>
      </c>
    </row>
    <row r="77" spans="2:10">
      <c r="B77" s="392" t="str">
        <f>Table1[[#This Row],[Cost Center Name]]&amp;Table1[[#This Row],[Job Name]]&amp;" "&amp;"-"&amp;" "&amp;Table1[[#This Row],[Job Code]]</f>
        <v>AS Overhead AllocatedSoftware.Director - 100162</v>
      </c>
      <c r="C77" s="392" t="s">
        <v>354</v>
      </c>
      <c r="D77" s="392" t="s">
        <v>185</v>
      </c>
      <c r="E77" s="392" t="s">
        <v>355</v>
      </c>
      <c r="F77" s="81" t="s">
        <v>399</v>
      </c>
      <c r="G77" s="81">
        <v>100162</v>
      </c>
      <c r="H77" s="392" t="s">
        <v>364</v>
      </c>
      <c r="I77" s="392" t="s">
        <v>358</v>
      </c>
      <c r="J77" s="81">
        <v>213.75</v>
      </c>
    </row>
    <row r="78" spans="2:10">
      <c r="B78" s="392" t="str">
        <f>Table1[[#This Row],[Cost Center Name]]&amp;Table1[[#This Row],[Job Name]]&amp;" "&amp;"-"&amp;" "&amp;Table1[[#This Row],[Job Code]]</f>
        <v>AS Overhead AllocatedSoftware.Solution Consultant - 100164</v>
      </c>
      <c r="C78" s="392" t="s">
        <v>354</v>
      </c>
      <c r="D78" s="392" t="s">
        <v>185</v>
      </c>
      <c r="E78" s="392" t="s">
        <v>355</v>
      </c>
      <c r="F78" s="81" t="s">
        <v>399</v>
      </c>
      <c r="G78" s="81">
        <v>100164</v>
      </c>
      <c r="H78" s="392" t="s">
        <v>366</v>
      </c>
      <c r="I78" s="392" t="s">
        <v>358</v>
      </c>
      <c r="J78" s="81">
        <v>180</v>
      </c>
    </row>
    <row r="79" spans="2:10">
      <c r="B79" s="392" t="str">
        <f>Table1[[#This Row],[Cost Center Name]]&amp;Table1[[#This Row],[Job Name]]&amp;" "&amp;"-"&amp;" "&amp;Table1[[#This Row],[Job Code]]</f>
        <v>AS Overhead AllocatedSoftware.Staff - 100165</v>
      </c>
      <c r="C79" s="392" t="s">
        <v>354</v>
      </c>
      <c r="D79" s="392" t="s">
        <v>185</v>
      </c>
      <c r="E79" s="392" t="s">
        <v>355</v>
      </c>
      <c r="F79" s="81" t="s">
        <v>399</v>
      </c>
      <c r="G79" s="81">
        <v>100165</v>
      </c>
      <c r="H79" s="392" t="s">
        <v>367</v>
      </c>
      <c r="I79" s="392" t="s">
        <v>358</v>
      </c>
      <c r="J79" s="81">
        <v>87.75</v>
      </c>
    </row>
    <row r="80" spans="2:10">
      <c r="B80" s="392" t="str">
        <f>Table1[[#This Row],[Cost Center Name]]&amp;Table1[[#This Row],[Job Name]]&amp;" "&amp;"-"&amp;" "&amp;Table1[[#This Row],[Job Code]]</f>
        <v>CS AutomationAutomation.Consultant - 100284</v>
      </c>
      <c r="C80" s="392" t="s">
        <v>354</v>
      </c>
      <c r="D80" s="392" t="s">
        <v>185</v>
      </c>
      <c r="E80" s="392" t="s">
        <v>400</v>
      </c>
      <c r="F80" s="81" t="s">
        <v>401</v>
      </c>
      <c r="G80" s="81">
        <v>100284</v>
      </c>
      <c r="H80" s="392" t="s">
        <v>402</v>
      </c>
      <c r="I80" s="392" t="s">
        <v>358</v>
      </c>
      <c r="J80" s="81">
        <v>212.85</v>
      </c>
    </row>
    <row r="81" spans="2:10">
      <c r="B81" s="392" t="str">
        <f>Table1[[#This Row],[Cost Center Name]]&amp;Table1[[#This Row],[Job Name]]&amp;" "&amp;"-"&amp;" "&amp;Table1[[#This Row],[Job Code]]</f>
        <v>CS BAA Business DevelopmentBAA.Analyst - 100030</v>
      </c>
      <c r="C81" s="392" t="s">
        <v>354</v>
      </c>
      <c r="D81" s="392" t="s">
        <v>185</v>
      </c>
      <c r="E81" s="392" t="s">
        <v>400</v>
      </c>
      <c r="F81" s="81" t="s">
        <v>403</v>
      </c>
      <c r="G81" s="81">
        <v>100030</v>
      </c>
      <c r="H81" s="392" t="s">
        <v>404</v>
      </c>
      <c r="I81" s="392" t="s">
        <v>358</v>
      </c>
      <c r="J81" s="81">
        <v>101</v>
      </c>
    </row>
    <row r="82" spans="2:10">
      <c r="B82" s="392" t="str">
        <f>Table1[[#This Row],[Cost Center Name]]&amp;Table1[[#This Row],[Job Name]]&amp;" "&amp;"-"&amp;" "&amp;Table1[[#This Row],[Job Code]]</f>
        <v>CS BAA Business DevelopmentBAA.Consultant - 100031</v>
      </c>
      <c r="C82" s="392" t="s">
        <v>354</v>
      </c>
      <c r="D82" s="392" t="s">
        <v>185</v>
      </c>
      <c r="E82" s="392" t="s">
        <v>400</v>
      </c>
      <c r="F82" s="81" t="s">
        <v>403</v>
      </c>
      <c r="G82" s="81">
        <v>100031</v>
      </c>
      <c r="H82" s="392" t="s">
        <v>405</v>
      </c>
      <c r="I82" s="392" t="s">
        <v>358</v>
      </c>
      <c r="J82" s="81">
        <v>135.34</v>
      </c>
    </row>
    <row r="83" spans="2:10">
      <c r="B83" s="392" t="str">
        <f>Table1[[#This Row],[Cost Center Name]]&amp;Table1[[#This Row],[Job Name]]&amp;" "&amp;"-"&amp;" "&amp;Table1[[#This Row],[Job Code]]</f>
        <v>CS BAA Business DevelopmentBAA.Managing Director - 100035</v>
      </c>
      <c r="C83" s="392" t="s">
        <v>354</v>
      </c>
      <c r="D83" s="392" t="s">
        <v>185</v>
      </c>
      <c r="E83" s="392" t="s">
        <v>400</v>
      </c>
      <c r="F83" s="81" t="s">
        <v>403</v>
      </c>
      <c r="G83" s="81">
        <v>100035</v>
      </c>
      <c r="H83" s="392" t="s">
        <v>406</v>
      </c>
      <c r="I83" s="392" t="s">
        <v>358</v>
      </c>
      <c r="J83" s="81">
        <v>280.77999999999997</v>
      </c>
    </row>
    <row r="84" spans="2:10">
      <c r="B84" s="392" t="str">
        <f>Table1[[#This Row],[Cost Center Name]]&amp;Table1[[#This Row],[Job Name]]&amp;" "&amp;"-"&amp;" "&amp;Table1[[#This Row],[Job Code]]</f>
        <v>CS BAA Business DevelopmentAutomation.Architect - 100262</v>
      </c>
      <c r="C84" s="392" t="s">
        <v>354</v>
      </c>
      <c r="D84" s="392" t="s">
        <v>185</v>
      </c>
      <c r="E84" s="392" t="s">
        <v>400</v>
      </c>
      <c r="F84" s="81" t="s">
        <v>403</v>
      </c>
      <c r="G84" s="81">
        <v>100262</v>
      </c>
      <c r="H84" s="392" t="s">
        <v>407</v>
      </c>
      <c r="I84" s="392" t="s">
        <v>358</v>
      </c>
      <c r="J84" s="81">
        <v>181.8</v>
      </c>
    </row>
    <row r="85" spans="2:10">
      <c r="B85" s="392" t="str">
        <f>Table1[[#This Row],[Cost Center Name]]&amp;Table1[[#This Row],[Job Name]]&amp;" "&amp;"-"&amp;" "&amp;Table1[[#This Row],[Job Code]]</f>
        <v>CS BAA Business DevelopmentAutomation.Consultant - 100284</v>
      </c>
      <c r="C85" s="392" t="s">
        <v>354</v>
      </c>
      <c r="D85" s="392" t="s">
        <v>185</v>
      </c>
      <c r="E85" s="392" t="s">
        <v>400</v>
      </c>
      <c r="F85" s="81" t="s">
        <v>403</v>
      </c>
      <c r="G85" s="81">
        <v>100284</v>
      </c>
      <c r="H85" s="392" t="s">
        <v>402</v>
      </c>
      <c r="I85" s="392" t="s">
        <v>358</v>
      </c>
      <c r="J85" s="81">
        <v>199.98</v>
      </c>
    </row>
    <row r="86" spans="2:10">
      <c r="B86" s="392" t="str">
        <f>Table1[[#This Row],[Cost Center Name]]&amp;Table1[[#This Row],[Job Name]]&amp;" "&amp;"-"&amp;" "&amp;Table1[[#This Row],[Job Code]]</f>
        <v>CS BAA ConsultantsBAA.Analyst - 100030</v>
      </c>
      <c r="C86" s="392" t="s">
        <v>354</v>
      </c>
      <c r="D86" s="392" t="s">
        <v>185</v>
      </c>
      <c r="E86" s="392" t="s">
        <v>400</v>
      </c>
      <c r="F86" s="81" t="s">
        <v>408</v>
      </c>
      <c r="G86" s="81">
        <v>100030</v>
      </c>
      <c r="H86" s="392" t="s">
        <v>404</v>
      </c>
      <c r="I86" s="392" t="s">
        <v>358</v>
      </c>
      <c r="J86" s="81">
        <v>105</v>
      </c>
    </row>
    <row r="87" spans="2:10">
      <c r="B87" s="392" t="str">
        <f>Table1[[#This Row],[Cost Center Name]]&amp;Table1[[#This Row],[Job Name]]&amp;" "&amp;"-"&amp;" "&amp;Table1[[#This Row],[Job Code]]</f>
        <v>CS BAA ConsultantsBAA.Consultant - 100031</v>
      </c>
      <c r="C87" s="392" t="s">
        <v>354</v>
      </c>
      <c r="D87" s="392" t="s">
        <v>185</v>
      </c>
      <c r="E87" s="392" t="s">
        <v>400</v>
      </c>
      <c r="F87" s="81" t="s">
        <v>408</v>
      </c>
      <c r="G87" s="81">
        <v>100031</v>
      </c>
      <c r="H87" s="392" t="s">
        <v>405</v>
      </c>
      <c r="I87" s="392" t="s">
        <v>358</v>
      </c>
      <c r="J87" s="81">
        <v>140.69999999999999</v>
      </c>
    </row>
    <row r="88" spans="2:10">
      <c r="B88" s="392" t="str">
        <f>Table1[[#This Row],[Cost Center Name]]&amp;Table1[[#This Row],[Job Name]]&amp;" "&amp;"-"&amp;" "&amp;Table1[[#This Row],[Job Code]]</f>
        <v>CS BAA ConsultantsBAA.Data Scientist - 100032</v>
      </c>
      <c r="C88" s="392" t="s">
        <v>354</v>
      </c>
      <c r="D88" s="392" t="s">
        <v>185</v>
      </c>
      <c r="E88" s="392" t="s">
        <v>400</v>
      </c>
      <c r="F88" s="81" t="s">
        <v>408</v>
      </c>
      <c r="G88" s="81">
        <v>100032</v>
      </c>
      <c r="H88" s="392" t="s">
        <v>409</v>
      </c>
      <c r="I88" s="392" t="s">
        <v>358</v>
      </c>
      <c r="J88" s="81">
        <v>134.4</v>
      </c>
    </row>
    <row r="89" spans="2:10">
      <c r="B89" s="392" t="str">
        <f>Table1[[#This Row],[Cost Center Name]]&amp;Table1[[#This Row],[Job Name]]&amp;" "&amp;"-"&amp;" "&amp;Table1[[#This Row],[Job Code]]</f>
        <v>CS BAA ConsultantsBAA.Engagement Manager - 100033</v>
      </c>
      <c r="C89" s="392" t="s">
        <v>354</v>
      </c>
      <c r="D89" s="392" t="s">
        <v>185</v>
      </c>
      <c r="E89" s="392" t="s">
        <v>400</v>
      </c>
      <c r="F89" s="81" t="s">
        <v>408</v>
      </c>
      <c r="G89" s="81">
        <v>100033</v>
      </c>
      <c r="H89" s="392" t="s">
        <v>410</v>
      </c>
      <c r="I89" s="392" t="s">
        <v>358</v>
      </c>
      <c r="J89" s="81">
        <v>205.8</v>
      </c>
    </row>
    <row r="90" spans="2:10">
      <c r="B90" s="392" t="str">
        <f>Table1[[#This Row],[Cost Center Name]]&amp;Table1[[#This Row],[Job Name]]&amp;" "&amp;"-"&amp;" "&amp;Table1[[#This Row],[Job Code]]</f>
        <v>CS BAA Engagement MgtBAA.Engagement Manager - 100033</v>
      </c>
      <c r="C90" s="392" t="s">
        <v>354</v>
      </c>
      <c r="D90" s="392" t="s">
        <v>185</v>
      </c>
      <c r="E90" s="392" t="s">
        <v>400</v>
      </c>
      <c r="F90" s="81" t="s">
        <v>411</v>
      </c>
      <c r="G90" s="81">
        <v>100033</v>
      </c>
      <c r="H90" s="392" t="s">
        <v>410</v>
      </c>
      <c r="I90" s="392" t="s">
        <v>358</v>
      </c>
      <c r="J90" s="81">
        <v>208.74</v>
      </c>
    </row>
    <row r="91" spans="2:10">
      <c r="B91" s="392" t="str">
        <f>Table1[[#This Row],[Cost Center Name]]&amp;Table1[[#This Row],[Job Name]]&amp;" "&amp;"-"&amp;" "&amp;Table1[[#This Row],[Job Code]]</f>
        <v>CS BAA Engagement MgtCS.Technical Delivery - 100281</v>
      </c>
      <c r="C91" s="392" t="s">
        <v>354</v>
      </c>
      <c r="D91" s="392" t="s">
        <v>185</v>
      </c>
      <c r="E91" s="392" t="s">
        <v>400</v>
      </c>
      <c r="F91" s="81" t="s">
        <v>411</v>
      </c>
      <c r="G91" s="81">
        <v>100281</v>
      </c>
      <c r="H91" s="392" t="s">
        <v>412</v>
      </c>
      <c r="I91" s="392" t="s">
        <v>358</v>
      </c>
      <c r="J91" s="81">
        <v>185.31</v>
      </c>
    </row>
    <row r="92" spans="2:10">
      <c r="B92" s="392" t="str">
        <f>Table1[[#This Row],[Cost Center Name]]&amp;Table1[[#This Row],[Job Name]]&amp;" "&amp;"-"&amp;" "&amp;Table1[[#This Row],[Job Code]]</f>
        <v>CS BAA OverheadBAA.Managing Director - 100035</v>
      </c>
      <c r="C92" s="392" t="s">
        <v>354</v>
      </c>
      <c r="D92" s="392" t="s">
        <v>185</v>
      </c>
      <c r="E92" s="392" t="s">
        <v>400</v>
      </c>
      <c r="F92" s="81" t="s">
        <v>413</v>
      </c>
      <c r="G92" s="81">
        <v>100035</v>
      </c>
      <c r="H92" s="392" t="s">
        <v>406</v>
      </c>
      <c r="I92" s="392" t="s">
        <v>358</v>
      </c>
      <c r="J92" s="81">
        <v>312.75</v>
      </c>
    </row>
    <row r="93" spans="2:10">
      <c r="B93" s="392" t="str">
        <f>Table1[[#This Row],[Cost Center Name]]&amp;Table1[[#This Row],[Job Name]]&amp;" "&amp;"-"&amp;" "&amp;Table1[[#This Row],[Job Code]]</f>
        <v>CS BAA OverheadCS Overhead.Management - 100073</v>
      </c>
      <c r="C93" s="392" t="s">
        <v>354</v>
      </c>
      <c r="D93" s="392" t="s">
        <v>185</v>
      </c>
      <c r="E93" s="392" t="s">
        <v>400</v>
      </c>
      <c r="F93" s="81" t="s">
        <v>413</v>
      </c>
      <c r="G93" s="81">
        <v>100073</v>
      </c>
      <c r="H93" s="392" t="s">
        <v>414</v>
      </c>
      <c r="I93" s="392" t="s">
        <v>358</v>
      </c>
      <c r="J93" s="81">
        <v>299.25</v>
      </c>
    </row>
    <row r="94" spans="2:10">
      <c r="B94" s="392" t="str">
        <f>Table1[[#This Row],[Cost Center Name]]&amp;Table1[[#This Row],[Job Name]]&amp;" "&amp;"-"&amp;" "&amp;Table1[[#This Row],[Job Code]]</f>
        <v>CS BAA TechnicalBAA.Engineer - 100034</v>
      </c>
      <c r="C94" s="392" t="s">
        <v>354</v>
      </c>
      <c r="D94" s="392" t="s">
        <v>185</v>
      </c>
      <c r="E94" s="392" t="s">
        <v>400</v>
      </c>
      <c r="F94" s="81" t="s">
        <v>415</v>
      </c>
      <c r="G94" s="81">
        <v>100034</v>
      </c>
      <c r="H94" s="392" t="s">
        <v>416</v>
      </c>
      <c r="I94" s="392" t="s">
        <v>358</v>
      </c>
      <c r="J94" s="81">
        <v>150</v>
      </c>
    </row>
    <row r="95" spans="2:10">
      <c r="B95" s="392" t="str">
        <f>Table1[[#This Row],[Cost Center Name]]&amp;Table1[[#This Row],[Job Name]]&amp;" "&amp;"-"&amp;" "&amp;Table1[[#This Row],[Job Code]]</f>
        <v>CS BAA TechnicalBAA.Sr Engineer - 100036</v>
      </c>
      <c r="C95" s="392" t="s">
        <v>354</v>
      </c>
      <c r="D95" s="392" t="s">
        <v>185</v>
      </c>
      <c r="E95" s="392" t="s">
        <v>400</v>
      </c>
      <c r="F95" s="81" t="s">
        <v>415</v>
      </c>
      <c r="G95" s="81">
        <v>100036</v>
      </c>
      <c r="H95" s="392" t="s">
        <v>417</v>
      </c>
      <c r="I95" s="392" t="s">
        <v>358</v>
      </c>
      <c r="J95" s="81">
        <v>254</v>
      </c>
    </row>
    <row r="96" spans="2:10">
      <c r="B96" s="392" t="str">
        <f>Table1[[#This Row],[Cost Center Name]]&amp;Table1[[#This Row],[Job Name]]&amp;" "&amp;"-"&amp;" "&amp;Table1[[#This Row],[Job Code]]</f>
        <v>CS Cloud DedicatedCloud.Associate Engineer - 100274</v>
      </c>
      <c r="C96" s="392" t="s">
        <v>354</v>
      </c>
      <c r="D96" s="392" t="s">
        <v>185</v>
      </c>
      <c r="E96" s="392" t="s">
        <v>400</v>
      </c>
      <c r="F96" s="81" t="s">
        <v>418</v>
      </c>
      <c r="G96" s="81">
        <v>100274</v>
      </c>
      <c r="H96" s="392" t="s">
        <v>419</v>
      </c>
      <c r="I96" s="392" t="s">
        <v>358</v>
      </c>
      <c r="J96" s="81">
        <v>100.17</v>
      </c>
    </row>
    <row r="97" spans="2:10">
      <c r="B97" s="392" t="str">
        <f>Table1[[#This Row],[Cost Center Name]]&amp;Table1[[#This Row],[Job Name]]&amp;" "&amp;"-"&amp;" "&amp;Table1[[#This Row],[Job Code]]</f>
        <v>CS Cloud OverheadCloud.Management - 100052</v>
      </c>
      <c r="C97" s="392" t="s">
        <v>354</v>
      </c>
      <c r="D97" s="392" t="s">
        <v>185</v>
      </c>
      <c r="E97" s="392" t="s">
        <v>400</v>
      </c>
      <c r="F97" s="81" t="s">
        <v>420</v>
      </c>
      <c r="G97" s="81">
        <v>100052</v>
      </c>
      <c r="H97" s="392" t="s">
        <v>421</v>
      </c>
      <c r="I97" s="392" t="s">
        <v>358</v>
      </c>
      <c r="J97" s="81">
        <v>229.5</v>
      </c>
    </row>
    <row r="98" spans="2:10">
      <c r="B98" s="392" t="str">
        <f>Table1[[#This Row],[Cost Center Name]]&amp;Table1[[#This Row],[Job Name]]&amp;" "&amp;"-"&amp;" "&amp;Table1[[#This Row],[Job Code]]</f>
        <v>CS Cloud OverheadCS Overhead.Management - 100073</v>
      </c>
      <c r="C98" s="392" t="s">
        <v>354</v>
      </c>
      <c r="D98" s="392" t="s">
        <v>185</v>
      </c>
      <c r="E98" s="392" t="s">
        <v>400</v>
      </c>
      <c r="F98" s="81" t="s">
        <v>420</v>
      </c>
      <c r="G98" s="81">
        <v>100073</v>
      </c>
      <c r="H98" s="392" t="s">
        <v>414</v>
      </c>
      <c r="I98" s="392" t="s">
        <v>358</v>
      </c>
      <c r="J98" s="81">
        <v>299.25</v>
      </c>
    </row>
    <row r="99" spans="2:10">
      <c r="B99" s="392" t="str">
        <f>Table1[[#This Row],[Cost Center Name]]&amp;Table1[[#This Row],[Job Name]]&amp;" "&amp;"-"&amp;" "&amp;Table1[[#This Row],[Job Code]]</f>
        <v>CS Cloud Solutions ArchitectsCloud.Solutions Architect - 100276</v>
      </c>
      <c r="C99" s="392" t="s">
        <v>354</v>
      </c>
      <c r="D99" s="392" t="s">
        <v>185</v>
      </c>
      <c r="E99" s="392" t="s">
        <v>400</v>
      </c>
      <c r="F99" s="81" t="s">
        <v>422</v>
      </c>
      <c r="G99" s="81">
        <v>100276</v>
      </c>
      <c r="H99" s="392" t="s">
        <v>423</v>
      </c>
      <c r="I99" s="392" t="s">
        <v>358</v>
      </c>
      <c r="J99" s="81">
        <v>217.12</v>
      </c>
    </row>
    <row r="100" spans="2:10">
      <c r="B100" s="392" t="str">
        <f>Table1[[#This Row],[Cost Center Name]]&amp;Table1[[#This Row],[Job Name]]&amp;" "&amp;"-"&amp;" "&amp;Table1[[#This Row],[Job Code]]</f>
        <v>CS Cloud TechnicalCloud.Engineer - 100051</v>
      </c>
      <c r="C100" s="392" t="s">
        <v>354</v>
      </c>
      <c r="D100" s="392" t="s">
        <v>185</v>
      </c>
      <c r="E100" s="392" t="s">
        <v>400</v>
      </c>
      <c r="F100" s="81" t="s">
        <v>424</v>
      </c>
      <c r="G100" s="81">
        <v>100051</v>
      </c>
      <c r="H100" s="392" t="s">
        <v>425</v>
      </c>
      <c r="I100" s="392" t="s">
        <v>358</v>
      </c>
      <c r="J100" s="81">
        <v>127.8</v>
      </c>
    </row>
    <row r="101" spans="2:10">
      <c r="B101" s="392" t="str">
        <f>Table1[[#This Row],[Cost Center Name]]&amp;Table1[[#This Row],[Job Name]]&amp;" "&amp;"-"&amp;" "&amp;Table1[[#This Row],[Job Code]]</f>
        <v>CS Cloud TechnicalCloud.PlatformArchitect - 100053</v>
      </c>
      <c r="C101" s="392" t="s">
        <v>354</v>
      </c>
      <c r="D101" s="392" t="s">
        <v>185</v>
      </c>
      <c r="E101" s="392" t="s">
        <v>400</v>
      </c>
      <c r="F101" s="81" t="s">
        <v>424</v>
      </c>
      <c r="G101" s="81">
        <v>100053</v>
      </c>
      <c r="H101" s="392" t="s">
        <v>426</v>
      </c>
      <c r="I101" s="392" t="s">
        <v>358</v>
      </c>
      <c r="J101" s="81">
        <v>168.27</v>
      </c>
    </row>
    <row r="102" spans="2:10">
      <c r="B102" s="392" t="str">
        <f>Table1[[#This Row],[Cost Center Name]]&amp;Table1[[#This Row],[Job Name]]&amp;" "&amp;"-"&amp;" "&amp;Table1[[#This Row],[Job Code]]</f>
        <v>CS Cloud TechnicalCloud.Practice Lead - 100278</v>
      </c>
      <c r="C102" s="392" t="s">
        <v>354</v>
      </c>
      <c r="D102" s="392" t="s">
        <v>185</v>
      </c>
      <c r="E102" s="392" t="s">
        <v>400</v>
      </c>
      <c r="F102" s="81" t="s">
        <v>424</v>
      </c>
      <c r="G102" s="81">
        <v>100278</v>
      </c>
      <c r="H102" s="392" t="s">
        <v>427</v>
      </c>
      <c r="I102" s="392" t="s">
        <v>358</v>
      </c>
      <c r="J102" s="81">
        <v>176.79</v>
      </c>
    </row>
    <row r="103" spans="2:10">
      <c r="B103" s="392" t="str">
        <f>Table1[[#This Row],[Cost Center Name]]&amp;Table1[[#This Row],[Job Name]]&amp;" "&amp;"-"&amp;" "&amp;Table1[[#This Row],[Job Code]]</f>
        <v>CS Cloud TechnicalCloud.Sr Architect - 100279</v>
      </c>
      <c r="C103" s="392" t="s">
        <v>354</v>
      </c>
      <c r="D103" s="392" t="s">
        <v>185</v>
      </c>
      <c r="E103" s="392" t="s">
        <v>400</v>
      </c>
      <c r="F103" s="81" t="s">
        <v>424</v>
      </c>
      <c r="G103" s="81">
        <v>100279</v>
      </c>
      <c r="H103" s="392" t="s">
        <v>428</v>
      </c>
      <c r="I103" s="392" t="s">
        <v>358</v>
      </c>
      <c r="J103" s="81">
        <v>185.31</v>
      </c>
    </row>
    <row r="104" spans="2:10">
      <c r="B104" s="392" t="str">
        <f>Table1[[#This Row],[Cost Center Name]]&amp;Table1[[#This Row],[Job Name]]&amp;" "&amp;"-"&amp;" "&amp;Table1[[#This Row],[Job Code]]</f>
        <v>CS Cloud Transition BillableCloud.Engineer - 100051</v>
      </c>
      <c r="C104" s="392" t="s">
        <v>354</v>
      </c>
      <c r="D104" s="392" t="s">
        <v>185</v>
      </c>
      <c r="E104" s="392" t="s">
        <v>400</v>
      </c>
      <c r="F104" s="81" t="s">
        <v>429</v>
      </c>
      <c r="G104" s="81">
        <v>100051</v>
      </c>
      <c r="H104" s="392" t="s">
        <v>425</v>
      </c>
      <c r="I104" s="392" t="s">
        <v>358</v>
      </c>
      <c r="J104" s="81">
        <v>141.6</v>
      </c>
    </row>
    <row r="105" spans="2:10">
      <c r="B105" s="392" t="str">
        <f>Table1[[#This Row],[Cost Center Name]]&amp;Table1[[#This Row],[Job Name]]&amp;" "&amp;"-"&amp;" "&amp;Table1[[#This Row],[Job Code]]</f>
        <v>CS Cloud Transition BillableCloud.PlatformArchitect - 100053</v>
      </c>
      <c r="C105" s="392" t="s">
        <v>354</v>
      </c>
      <c r="D105" s="392" t="s">
        <v>185</v>
      </c>
      <c r="E105" s="392" t="s">
        <v>400</v>
      </c>
      <c r="F105" s="81" t="s">
        <v>429</v>
      </c>
      <c r="G105" s="81">
        <v>100053</v>
      </c>
      <c r="H105" s="392" t="s">
        <v>426</v>
      </c>
      <c r="I105" s="392" t="s">
        <v>358</v>
      </c>
      <c r="J105" s="81">
        <v>186.44</v>
      </c>
    </row>
    <row r="106" spans="2:10">
      <c r="B106" s="392" t="str">
        <f>Table1[[#This Row],[Cost Center Name]]&amp;Table1[[#This Row],[Job Name]]&amp;" "&amp;"-"&amp;" "&amp;Table1[[#This Row],[Job Code]]</f>
        <v>CS Cloud Transition BillableCloud.Associate Engineer - 100274</v>
      </c>
      <c r="C106" s="392" t="s">
        <v>354</v>
      </c>
      <c r="D106" s="392" t="s">
        <v>185</v>
      </c>
      <c r="E106" s="392" t="s">
        <v>400</v>
      </c>
      <c r="F106" s="81" t="s">
        <v>429</v>
      </c>
      <c r="G106" s="81">
        <v>100274</v>
      </c>
      <c r="H106" s="392" t="s">
        <v>419</v>
      </c>
      <c r="I106" s="392" t="s">
        <v>358</v>
      </c>
      <c r="J106" s="81">
        <v>125.08</v>
      </c>
    </row>
    <row r="107" spans="2:10">
      <c r="B107" s="392" t="str">
        <f>Table1[[#This Row],[Cost Center Name]]&amp;Table1[[#This Row],[Job Name]]&amp;" "&amp;"-"&amp;" "&amp;Table1[[#This Row],[Job Code]]</f>
        <v>CS Cloud Transition BillableCloud.Sr Architect - 100279</v>
      </c>
      <c r="C107" s="392" t="s">
        <v>354</v>
      </c>
      <c r="D107" s="392" t="s">
        <v>185</v>
      </c>
      <c r="E107" s="392" t="s">
        <v>400</v>
      </c>
      <c r="F107" s="81" t="s">
        <v>429</v>
      </c>
      <c r="G107" s="81">
        <v>100279</v>
      </c>
      <c r="H107" s="392" t="s">
        <v>428</v>
      </c>
      <c r="I107" s="392" t="s">
        <v>358</v>
      </c>
      <c r="J107" s="81">
        <v>205.32</v>
      </c>
    </row>
    <row r="108" spans="2:10">
      <c r="B108" s="392" t="str">
        <f>Table1[[#This Row],[Cost Center Name]]&amp;Table1[[#This Row],[Job Name]]&amp;" "&amp;"-"&amp;" "&amp;Table1[[#This Row],[Job Code]]</f>
        <v>CS Cloud Transition BillableCloud.Sr Engineer - 100280</v>
      </c>
      <c r="C108" s="392" t="s">
        <v>354</v>
      </c>
      <c r="D108" s="392" t="s">
        <v>185</v>
      </c>
      <c r="E108" s="392" t="s">
        <v>400</v>
      </c>
      <c r="F108" s="81" t="s">
        <v>429</v>
      </c>
      <c r="G108" s="81">
        <v>100280</v>
      </c>
      <c r="H108" s="392" t="s">
        <v>430</v>
      </c>
      <c r="I108" s="392" t="s">
        <v>358</v>
      </c>
      <c r="J108" s="81">
        <v>188.8</v>
      </c>
    </row>
    <row r="109" spans="2:10">
      <c r="B109" s="392" t="str">
        <f>Table1[[#This Row],[Cost Center Name]]&amp;Table1[[#This Row],[Job Name]]&amp;" "&amp;"-"&amp;" "&amp;Table1[[#This Row],[Job Code]]</f>
        <v>CS Cloud Transition OverheadCloud.Management - 100052</v>
      </c>
      <c r="C109" s="392" t="s">
        <v>354</v>
      </c>
      <c r="D109" s="392" t="s">
        <v>185</v>
      </c>
      <c r="E109" s="392" t="s">
        <v>400</v>
      </c>
      <c r="F109" s="81" t="s">
        <v>431</v>
      </c>
      <c r="G109" s="81">
        <v>100052</v>
      </c>
      <c r="H109" s="392" t="s">
        <v>421</v>
      </c>
      <c r="I109" s="392" t="s">
        <v>358</v>
      </c>
      <c r="J109" s="81">
        <v>229.5</v>
      </c>
    </row>
    <row r="110" spans="2:10">
      <c r="B110" s="392" t="str">
        <f>Table1[[#This Row],[Cost Center Name]]&amp;Table1[[#This Row],[Job Name]]&amp;" "&amp;"-"&amp;" "&amp;Table1[[#This Row],[Job Code]]</f>
        <v>CS Cloud Transition OverheadCloud.Practice Lead - 100278</v>
      </c>
      <c r="C110" s="392" t="s">
        <v>354</v>
      </c>
      <c r="D110" s="392" t="s">
        <v>185</v>
      </c>
      <c r="E110" s="392" t="s">
        <v>400</v>
      </c>
      <c r="F110" s="81" t="s">
        <v>431</v>
      </c>
      <c r="G110" s="81">
        <v>100278</v>
      </c>
      <c r="H110" s="392" t="s">
        <v>427</v>
      </c>
      <c r="I110" s="392" t="s">
        <v>358</v>
      </c>
      <c r="J110" s="81">
        <v>186.75</v>
      </c>
    </row>
    <row r="111" spans="2:10">
      <c r="B111" s="392" t="str">
        <f>Table1[[#This Row],[Cost Center Name]]&amp;Table1[[#This Row],[Job Name]]&amp;" "&amp;"-"&amp;" "&amp;Table1[[#This Row],[Job Code]]</f>
        <v>CS Digital BDDigital.Director - 100267</v>
      </c>
      <c r="C111" s="392" t="s">
        <v>354</v>
      </c>
      <c r="D111" s="392" t="s">
        <v>185</v>
      </c>
      <c r="E111" s="392" t="s">
        <v>400</v>
      </c>
      <c r="F111" s="81" t="s">
        <v>432</v>
      </c>
      <c r="G111" s="81">
        <v>100267</v>
      </c>
      <c r="H111" s="392" t="s">
        <v>433</v>
      </c>
      <c r="I111" s="392" t="s">
        <v>358</v>
      </c>
      <c r="J111" s="81">
        <v>224.54</v>
      </c>
    </row>
    <row r="112" spans="2:10">
      <c r="B112" s="392" t="str">
        <f>Table1[[#This Row],[Cost Center Name]]&amp;Table1[[#This Row],[Job Name]]&amp;" "&amp;"-"&amp;" "&amp;Table1[[#This Row],[Job Code]]</f>
        <v>CS Digital BDDigital.Manager - 100268</v>
      </c>
      <c r="C112" s="392" t="s">
        <v>354</v>
      </c>
      <c r="D112" s="392" t="s">
        <v>185</v>
      </c>
      <c r="E112" s="392" t="s">
        <v>400</v>
      </c>
      <c r="F112" s="81" t="s">
        <v>432</v>
      </c>
      <c r="G112" s="81">
        <v>100268</v>
      </c>
      <c r="H112" s="392" t="s">
        <v>434</v>
      </c>
      <c r="I112" s="392" t="s">
        <v>358</v>
      </c>
      <c r="J112" s="81">
        <v>140.08000000000001</v>
      </c>
    </row>
    <row r="113" spans="2:10">
      <c r="B113" s="392" t="str">
        <f>Table1[[#This Row],[Cost Center Name]]&amp;Table1[[#This Row],[Job Name]]&amp;" "&amp;"-"&amp;" "&amp;Table1[[#This Row],[Job Code]]</f>
        <v>CS Digital BDDigital.Sr Consultant - 100271</v>
      </c>
      <c r="C113" s="392" t="s">
        <v>354</v>
      </c>
      <c r="D113" s="392" t="s">
        <v>185</v>
      </c>
      <c r="E113" s="392" t="s">
        <v>400</v>
      </c>
      <c r="F113" s="81" t="s">
        <v>432</v>
      </c>
      <c r="G113" s="81">
        <v>100271</v>
      </c>
      <c r="H113" s="392" t="s">
        <v>435</v>
      </c>
      <c r="I113" s="392" t="s">
        <v>358</v>
      </c>
      <c r="J113" s="81">
        <v>241.02</v>
      </c>
    </row>
    <row r="114" spans="2:10">
      <c r="B114" s="392" t="str">
        <f>Table1[[#This Row],[Cost Center Name]]&amp;Table1[[#This Row],[Job Name]]&amp;" "&amp;"-"&amp;" "&amp;Table1[[#This Row],[Job Code]]</f>
        <v>CS Digital BDDigital.Operations - 100303</v>
      </c>
      <c r="C114" s="392" t="s">
        <v>354</v>
      </c>
      <c r="D114" s="392" t="s">
        <v>185</v>
      </c>
      <c r="E114" s="392" t="s">
        <v>400</v>
      </c>
      <c r="F114" s="81" t="s">
        <v>432</v>
      </c>
      <c r="G114" s="81">
        <v>100303</v>
      </c>
      <c r="H114" s="392" t="s">
        <v>436</v>
      </c>
      <c r="I114" s="392" t="s">
        <v>358</v>
      </c>
      <c r="J114" s="81">
        <v>76.22</v>
      </c>
    </row>
    <row r="115" spans="2:10">
      <c r="B115" s="392" t="str">
        <f>Table1[[#This Row],[Cost Center Name]]&amp;Table1[[#This Row],[Job Name]]&amp;" "&amp;"-"&amp;" "&amp;Table1[[#This Row],[Job Code]]</f>
        <v>CS Digital BDDigital.Sr Creative Consultant - 100304</v>
      </c>
      <c r="C115" s="392" t="s">
        <v>354</v>
      </c>
      <c r="D115" s="392" t="s">
        <v>185</v>
      </c>
      <c r="E115" s="392" t="s">
        <v>400</v>
      </c>
      <c r="F115" s="81" t="s">
        <v>432</v>
      </c>
      <c r="G115" s="81">
        <v>100304</v>
      </c>
      <c r="H115" s="392" t="s">
        <v>377</v>
      </c>
      <c r="I115" s="392" t="s">
        <v>358</v>
      </c>
      <c r="J115" s="81">
        <v>117.42</v>
      </c>
    </row>
    <row r="116" spans="2:10">
      <c r="B116" s="392" t="str">
        <f>Table1[[#This Row],[Cost Center Name]]&amp;Table1[[#This Row],[Job Name]]&amp;" "&amp;"-"&amp;" "&amp;Table1[[#This Row],[Job Code]]</f>
        <v>CS Digital BillableAgile Delivery.UX Consultant - 100020</v>
      </c>
      <c r="C116" s="392" t="s">
        <v>354</v>
      </c>
      <c r="D116" s="392" t="s">
        <v>185</v>
      </c>
      <c r="E116" s="392" t="s">
        <v>400</v>
      </c>
      <c r="F116" s="81" t="s">
        <v>437</v>
      </c>
      <c r="G116" s="81">
        <v>100020</v>
      </c>
      <c r="H116" s="392" t="s">
        <v>438</v>
      </c>
      <c r="I116" s="392" t="s">
        <v>358</v>
      </c>
      <c r="J116" s="81">
        <v>166.86</v>
      </c>
    </row>
    <row r="117" spans="2:10">
      <c r="B117" s="392" t="str">
        <f>Table1[[#This Row],[Cost Center Name]]&amp;Table1[[#This Row],[Job Name]]&amp;" "&amp;"-"&amp;" "&amp;Table1[[#This Row],[Job Code]]</f>
        <v>CS Digital BillableDigital.Architect - 100264</v>
      </c>
      <c r="C117" s="392" t="s">
        <v>354</v>
      </c>
      <c r="D117" s="392" t="s">
        <v>185</v>
      </c>
      <c r="E117" s="392" t="s">
        <v>400</v>
      </c>
      <c r="F117" s="81" t="s">
        <v>437</v>
      </c>
      <c r="G117" s="81">
        <v>100264</v>
      </c>
      <c r="H117" s="392" t="s">
        <v>439</v>
      </c>
      <c r="I117" s="392" t="s">
        <v>358</v>
      </c>
      <c r="J117" s="81">
        <v>181.28</v>
      </c>
    </row>
    <row r="118" spans="2:10">
      <c r="B118" s="392" t="str">
        <f>Table1[[#This Row],[Cost Center Name]]&amp;Table1[[#This Row],[Job Name]]&amp;" "&amp;"-"&amp;" "&amp;Table1[[#This Row],[Job Code]]</f>
        <v>CS Digital BillableDigital.Consultant - 100265</v>
      </c>
      <c r="C118" s="392" t="s">
        <v>354</v>
      </c>
      <c r="D118" s="392" t="s">
        <v>185</v>
      </c>
      <c r="E118" s="392" t="s">
        <v>400</v>
      </c>
      <c r="F118" s="81" t="s">
        <v>437</v>
      </c>
      <c r="G118" s="81">
        <v>100265</v>
      </c>
      <c r="H118" s="392" t="s">
        <v>440</v>
      </c>
      <c r="I118" s="392" t="s">
        <v>358</v>
      </c>
      <c r="J118" s="81">
        <v>154.5</v>
      </c>
    </row>
    <row r="119" spans="2:10">
      <c r="B119" s="392" t="str">
        <f>Table1[[#This Row],[Cost Center Name]]&amp;Table1[[#This Row],[Job Name]]&amp;" "&amp;"-"&amp;" "&amp;Table1[[#This Row],[Job Code]]</f>
        <v>CS Digital BillableDigital.Creative Consultant - 100266</v>
      </c>
      <c r="C119" s="392" t="s">
        <v>354</v>
      </c>
      <c r="D119" s="392" t="s">
        <v>185</v>
      </c>
      <c r="E119" s="392" t="s">
        <v>400</v>
      </c>
      <c r="F119" s="81" t="s">
        <v>437</v>
      </c>
      <c r="G119" s="81">
        <v>100266</v>
      </c>
      <c r="H119" s="392" t="s">
        <v>389</v>
      </c>
      <c r="I119" s="392" t="s">
        <v>358</v>
      </c>
      <c r="J119" s="81">
        <v>84.46</v>
      </c>
    </row>
    <row r="120" spans="2:10">
      <c r="B120" s="392" t="str">
        <f>Table1[[#This Row],[Cost Center Name]]&amp;Table1[[#This Row],[Job Name]]&amp;" "&amp;"-"&amp;" "&amp;Table1[[#This Row],[Job Code]]</f>
        <v>CS Digital BillableDigital.Program Director - 100269</v>
      </c>
      <c r="C120" s="392" t="s">
        <v>354</v>
      </c>
      <c r="D120" s="392" t="s">
        <v>185</v>
      </c>
      <c r="E120" s="392" t="s">
        <v>400</v>
      </c>
      <c r="F120" s="81" t="s">
        <v>437</v>
      </c>
      <c r="G120" s="81">
        <v>100269</v>
      </c>
      <c r="H120" s="392" t="s">
        <v>441</v>
      </c>
      <c r="I120" s="392" t="s">
        <v>358</v>
      </c>
      <c r="J120" s="81">
        <v>222.48</v>
      </c>
    </row>
    <row r="121" spans="2:10">
      <c r="B121" s="392" t="str">
        <f>Table1[[#This Row],[Cost Center Name]]&amp;Table1[[#This Row],[Job Name]]&amp;" "&amp;"-"&amp;" "&amp;Table1[[#This Row],[Job Code]]</f>
        <v>CS Digital BillableDigital.Project Manager - 100270</v>
      </c>
      <c r="C121" s="392" t="s">
        <v>354</v>
      </c>
      <c r="D121" s="392" t="s">
        <v>185</v>
      </c>
      <c r="E121" s="392" t="s">
        <v>400</v>
      </c>
      <c r="F121" s="81" t="s">
        <v>437</v>
      </c>
      <c r="G121" s="81">
        <v>100270</v>
      </c>
      <c r="H121" s="392" t="s">
        <v>442</v>
      </c>
      <c r="I121" s="392" t="s">
        <v>358</v>
      </c>
      <c r="J121" s="81">
        <v>115.36</v>
      </c>
    </row>
    <row r="122" spans="2:10">
      <c r="B122" s="392" t="str">
        <f>Table1[[#This Row],[Cost Center Name]]&amp;Table1[[#This Row],[Job Name]]&amp;" "&amp;"-"&amp;" "&amp;Table1[[#This Row],[Job Code]]</f>
        <v>CS Digital BillableDigital.Sr Consultant - 100271</v>
      </c>
      <c r="C122" s="392" t="s">
        <v>354</v>
      </c>
      <c r="D122" s="392" t="s">
        <v>185</v>
      </c>
      <c r="E122" s="392" t="s">
        <v>400</v>
      </c>
      <c r="F122" s="81" t="s">
        <v>437</v>
      </c>
      <c r="G122" s="81">
        <v>100271</v>
      </c>
      <c r="H122" s="392" t="s">
        <v>435</v>
      </c>
      <c r="I122" s="392" t="s">
        <v>358</v>
      </c>
      <c r="J122" s="81">
        <v>241.02</v>
      </c>
    </row>
    <row r="123" spans="2:10">
      <c r="B123" s="392" t="str">
        <f>Table1[[#This Row],[Cost Center Name]]&amp;Table1[[#This Row],[Job Name]]&amp;" "&amp;"-"&amp;" "&amp;Table1[[#This Row],[Job Code]]</f>
        <v>CS Digital BillableDigital.Sr Creative Consultant - 100304</v>
      </c>
      <c r="C123" s="392" t="s">
        <v>354</v>
      </c>
      <c r="D123" s="392" t="s">
        <v>185</v>
      </c>
      <c r="E123" s="392" t="s">
        <v>400</v>
      </c>
      <c r="F123" s="81" t="s">
        <v>437</v>
      </c>
      <c r="G123" s="81">
        <v>100304</v>
      </c>
      <c r="H123" s="392" t="s">
        <v>377</v>
      </c>
      <c r="I123" s="392" t="s">
        <v>358</v>
      </c>
      <c r="J123" s="81">
        <v>117.42</v>
      </c>
    </row>
    <row r="124" spans="2:10">
      <c r="B124" s="392" t="str">
        <f>Table1[[#This Row],[Cost Center Name]]&amp;Table1[[#This Row],[Job Name]]&amp;" "&amp;"-"&amp;" "&amp;Table1[[#This Row],[Job Code]]</f>
        <v>CS Digital OverheadCS Overhead.Management - 100073</v>
      </c>
      <c r="C124" s="392" t="s">
        <v>354</v>
      </c>
      <c r="D124" s="392" t="s">
        <v>185</v>
      </c>
      <c r="E124" s="392" t="s">
        <v>400</v>
      </c>
      <c r="F124" s="81" t="s">
        <v>443</v>
      </c>
      <c r="G124" s="81">
        <v>100073</v>
      </c>
      <c r="H124" s="392" t="s">
        <v>414</v>
      </c>
      <c r="I124" s="392" t="s">
        <v>358</v>
      </c>
      <c r="J124" s="81">
        <v>299.25</v>
      </c>
    </row>
    <row r="125" spans="2:10">
      <c r="B125" s="392" t="str">
        <f>Table1[[#This Row],[Cost Center Name]]&amp;Table1[[#This Row],[Job Name]]&amp;" "&amp;"-"&amp;" "&amp;Table1[[#This Row],[Job Code]]</f>
        <v>CS Digital OverheadDigital.Director - 100267</v>
      </c>
      <c r="C125" s="392" t="s">
        <v>354</v>
      </c>
      <c r="D125" s="392" t="s">
        <v>185</v>
      </c>
      <c r="E125" s="392" t="s">
        <v>400</v>
      </c>
      <c r="F125" s="81" t="s">
        <v>443</v>
      </c>
      <c r="G125" s="81">
        <v>100267</v>
      </c>
      <c r="H125" s="392" t="s">
        <v>433</v>
      </c>
      <c r="I125" s="392" t="s">
        <v>358</v>
      </c>
      <c r="J125" s="81">
        <v>245.25</v>
      </c>
    </row>
    <row r="126" spans="2:10">
      <c r="B126" s="392" t="str">
        <f>Table1[[#This Row],[Cost Center Name]]&amp;Table1[[#This Row],[Job Name]]&amp;" "&amp;"-"&amp;" "&amp;Table1[[#This Row],[Job Code]]</f>
        <v>CS Digital OverheadDigital.Manager - 100268</v>
      </c>
      <c r="C126" s="392" t="s">
        <v>354</v>
      </c>
      <c r="D126" s="392" t="s">
        <v>185</v>
      </c>
      <c r="E126" s="392" t="s">
        <v>400</v>
      </c>
      <c r="F126" s="81" t="s">
        <v>443</v>
      </c>
      <c r="G126" s="81">
        <v>100268</v>
      </c>
      <c r="H126" s="392" t="s">
        <v>434</v>
      </c>
      <c r="I126" s="392" t="s">
        <v>358</v>
      </c>
      <c r="J126" s="81">
        <v>153</v>
      </c>
    </row>
    <row r="127" spans="2:10">
      <c r="B127" s="392" t="str">
        <f>Table1[[#This Row],[Cost Center Name]]&amp;Table1[[#This Row],[Job Name]]&amp;" "&amp;"-"&amp;" "&amp;Table1[[#This Row],[Job Code]]</f>
        <v>CS Security BDServices Overhead.Director - 100146</v>
      </c>
      <c r="C127" s="392" t="s">
        <v>354</v>
      </c>
      <c r="D127" s="392" t="s">
        <v>185</v>
      </c>
      <c r="E127" s="392" t="s">
        <v>400</v>
      </c>
      <c r="F127" s="81" t="s">
        <v>444</v>
      </c>
      <c r="G127" s="81">
        <v>100146</v>
      </c>
      <c r="H127" s="392" t="s">
        <v>445</v>
      </c>
      <c r="I127" s="392" t="s">
        <v>358</v>
      </c>
      <c r="J127" s="81">
        <v>227.25</v>
      </c>
    </row>
    <row r="128" spans="2:10">
      <c r="B128" s="392" t="str">
        <f>Table1[[#This Row],[Cost Center Name]]&amp;Table1[[#This Row],[Job Name]]&amp;" "&amp;"-"&amp;" "&amp;Table1[[#This Row],[Job Code]]</f>
        <v>CS Security BDSecurity.Consultant - 100156</v>
      </c>
      <c r="C128" s="392" t="s">
        <v>354</v>
      </c>
      <c r="D128" s="392" t="s">
        <v>185</v>
      </c>
      <c r="E128" s="392" t="s">
        <v>400</v>
      </c>
      <c r="F128" s="81" t="s">
        <v>444</v>
      </c>
      <c r="G128" s="81">
        <v>100156</v>
      </c>
      <c r="H128" s="392" t="s">
        <v>446</v>
      </c>
      <c r="I128" s="392" t="s">
        <v>358</v>
      </c>
      <c r="J128" s="81">
        <v>175.5</v>
      </c>
    </row>
    <row r="129" spans="2:10">
      <c r="B129" s="392" t="str">
        <f>Table1[[#This Row],[Cost Center Name]]&amp;Table1[[#This Row],[Job Name]]&amp;" "&amp;"-"&amp;" "&amp;Table1[[#This Row],[Job Code]]</f>
        <v>CS Security BDSecurity.Principal Consultant - 100159</v>
      </c>
      <c r="C129" s="392" t="s">
        <v>354</v>
      </c>
      <c r="D129" s="392" t="s">
        <v>185</v>
      </c>
      <c r="E129" s="392" t="s">
        <v>400</v>
      </c>
      <c r="F129" s="81" t="s">
        <v>444</v>
      </c>
      <c r="G129" s="81">
        <v>100159</v>
      </c>
      <c r="H129" s="392" t="s">
        <v>447</v>
      </c>
      <c r="I129" s="392" t="s">
        <v>358</v>
      </c>
      <c r="J129" s="81">
        <v>225</v>
      </c>
    </row>
    <row r="130" spans="2:10">
      <c r="B130" s="392" t="str">
        <f>Table1[[#This Row],[Cost Center Name]]&amp;Table1[[#This Row],[Job Name]]&amp;" "&amp;"-"&amp;" "&amp;Table1[[#This Row],[Job Code]]</f>
        <v>CS Security BDSecurity.Technician - 100161</v>
      </c>
      <c r="C130" s="392" t="s">
        <v>354</v>
      </c>
      <c r="D130" s="392" t="s">
        <v>185</v>
      </c>
      <c r="E130" s="392" t="s">
        <v>400</v>
      </c>
      <c r="F130" s="81" t="s">
        <v>444</v>
      </c>
      <c r="G130" s="81">
        <v>100161</v>
      </c>
      <c r="H130" s="392" t="s">
        <v>448</v>
      </c>
      <c r="I130" s="392" t="s">
        <v>358</v>
      </c>
      <c r="J130" s="81">
        <v>105.75</v>
      </c>
    </row>
    <row r="131" spans="2:10">
      <c r="B131" s="392" t="str">
        <f>Table1[[#This Row],[Cost Center Name]]&amp;Table1[[#This Row],[Job Name]]&amp;" "&amp;"-"&amp;" "&amp;Table1[[#This Row],[Job Code]]</f>
        <v>CS Security BDSecurity.Sr Consultant - 100273</v>
      </c>
      <c r="C131" s="392" t="s">
        <v>354</v>
      </c>
      <c r="D131" s="392" t="s">
        <v>185</v>
      </c>
      <c r="E131" s="392" t="s">
        <v>400</v>
      </c>
      <c r="F131" s="81" t="s">
        <v>444</v>
      </c>
      <c r="G131" s="81">
        <v>100273</v>
      </c>
      <c r="H131" s="392" t="s">
        <v>449</v>
      </c>
      <c r="I131" s="392" t="s">
        <v>358</v>
      </c>
      <c r="J131" s="81">
        <v>202.5</v>
      </c>
    </row>
    <row r="132" spans="2:10">
      <c r="B132" s="392" t="str">
        <f>Table1[[#This Row],[Cost Center Name]]&amp;Table1[[#This Row],[Job Name]]&amp;" "&amp;"-"&amp;" "&amp;Table1[[#This Row],[Job Code]]</f>
        <v>CS Security DedicatedSecurity.Principal Consultant - 100159</v>
      </c>
      <c r="C132" s="392" t="s">
        <v>354</v>
      </c>
      <c r="D132" s="392" t="s">
        <v>185</v>
      </c>
      <c r="E132" s="392" t="s">
        <v>400</v>
      </c>
      <c r="F132" s="81" t="s">
        <v>450</v>
      </c>
      <c r="G132" s="81">
        <v>100159</v>
      </c>
      <c r="H132" s="392" t="s">
        <v>447</v>
      </c>
      <c r="I132" s="392" t="s">
        <v>358</v>
      </c>
      <c r="J132" s="81">
        <v>189</v>
      </c>
    </row>
    <row r="133" spans="2:10">
      <c r="B133" s="392" t="str">
        <f>Table1[[#This Row],[Cost Center Name]]&amp;Table1[[#This Row],[Job Name]]&amp;" "&amp;"-"&amp;" "&amp;Table1[[#This Row],[Job Code]]</f>
        <v>CS Security DedicatedSecurity.Technician - 100161</v>
      </c>
      <c r="C133" s="392" t="s">
        <v>354</v>
      </c>
      <c r="D133" s="392" t="s">
        <v>185</v>
      </c>
      <c r="E133" s="392" t="s">
        <v>400</v>
      </c>
      <c r="F133" s="81" t="s">
        <v>450</v>
      </c>
      <c r="G133" s="81">
        <v>100161</v>
      </c>
      <c r="H133" s="392" t="s">
        <v>448</v>
      </c>
      <c r="I133" s="392" t="s">
        <v>358</v>
      </c>
      <c r="J133" s="81">
        <v>88.83</v>
      </c>
    </row>
    <row r="134" spans="2:10">
      <c r="B134" s="392" t="str">
        <f>Table1[[#This Row],[Cost Center Name]]&amp;Table1[[#This Row],[Job Name]]&amp;" "&amp;"-"&amp;" "&amp;Table1[[#This Row],[Job Code]]</f>
        <v>CS Security OperationsCS Overhead.Management - 100073</v>
      </c>
      <c r="C134" s="392" t="s">
        <v>354</v>
      </c>
      <c r="D134" s="392" t="s">
        <v>185</v>
      </c>
      <c r="E134" s="392" t="s">
        <v>400</v>
      </c>
      <c r="F134" s="81" t="s">
        <v>451</v>
      </c>
      <c r="G134" s="81">
        <v>100073</v>
      </c>
      <c r="H134" s="392" t="s">
        <v>414</v>
      </c>
      <c r="I134" s="392" t="s">
        <v>358</v>
      </c>
      <c r="J134" s="81">
        <v>299.25</v>
      </c>
    </row>
    <row r="135" spans="2:10">
      <c r="B135" s="392" t="str">
        <f>Table1[[#This Row],[Cost Center Name]]&amp;Table1[[#This Row],[Job Name]]&amp;" "&amp;"-"&amp;" "&amp;Table1[[#This Row],[Job Code]]</f>
        <v>CS Security OperationsServices Overhead.Director - 100146</v>
      </c>
      <c r="C135" s="392" t="s">
        <v>354</v>
      </c>
      <c r="D135" s="392" t="s">
        <v>185</v>
      </c>
      <c r="E135" s="392" t="s">
        <v>400</v>
      </c>
      <c r="F135" s="81" t="s">
        <v>451</v>
      </c>
      <c r="G135" s="81">
        <v>100146</v>
      </c>
      <c r="H135" s="392" t="s">
        <v>445</v>
      </c>
      <c r="I135" s="392" t="s">
        <v>358</v>
      </c>
      <c r="J135" s="81">
        <v>227.25</v>
      </c>
    </row>
    <row r="136" spans="2:10">
      <c r="B136" s="392" t="str">
        <f>Table1[[#This Row],[Cost Center Name]]&amp;Table1[[#This Row],[Job Name]]&amp;" "&amp;"-"&amp;" "&amp;Table1[[#This Row],[Job Code]]</f>
        <v>CS Security ServicesServices Overhead.Director - 100146</v>
      </c>
      <c r="C136" s="392" t="s">
        <v>354</v>
      </c>
      <c r="D136" s="392" t="s">
        <v>185</v>
      </c>
      <c r="E136" s="392" t="s">
        <v>400</v>
      </c>
      <c r="F136" s="81" t="s">
        <v>452</v>
      </c>
      <c r="G136" s="81">
        <v>100146</v>
      </c>
      <c r="H136" s="392" t="s">
        <v>445</v>
      </c>
      <c r="I136" s="392" t="s">
        <v>358</v>
      </c>
      <c r="J136" s="81">
        <v>232.3</v>
      </c>
    </row>
    <row r="137" spans="2:10">
      <c r="B137" s="392" t="str">
        <f>Table1[[#This Row],[Cost Center Name]]&amp;Table1[[#This Row],[Job Name]]&amp;" "&amp;"-"&amp;" "&amp;Table1[[#This Row],[Job Code]]</f>
        <v>CS Security ServicesSecurity.Consultant - 100156</v>
      </c>
      <c r="C137" s="392" t="s">
        <v>354</v>
      </c>
      <c r="D137" s="392" t="s">
        <v>185</v>
      </c>
      <c r="E137" s="392" t="s">
        <v>400</v>
      </c>
      <c r="F137" s="81" t="s">
        <v>452</v>
      </c>
      <c r="G137" s="81">
        <v>100156</v>
      </c>
      <c r="H137" s="392" t="s">
        <v>446</v>
      </c>
      <c r="I137" s="392" t="s">
        <v>358</v>
      </c>
      <c r="J137" s="81">
        <v>179.4</v>
      </c>
    </row>
    <row r="138" spans="2:10">
      <c r="B138" s="392" t="str">
        <f>Table1[[#This Row],[Cost Center Name]]&amp;Table1[[#This Row],[Job Name]]&amp;" "&amp;"-"&amp;" "&amp;Table1[[#This Row],[Job Code]]</f>
        <v>CS Security ServicesSecurity.Principal Consultant - 100159</v>
      </c>
      <c r="C138" s="392" t="s">
        <v>354</v>
      </c>
      <c r="D138" s="392" t="s">
        <v>185</v>
      </c>
      <c r="E138" s="392" t="s">
        <v>400</v>
      </c>
      <c r="F138" s="81" t="s">
        <v>452</v>
      </c>
      <c r="G138" s="81">
        <v>100159</v>
      </c>
      <c r="H138" s="392" t="s">
        <v>447</v>
      </c>
      <c r="I138" s="392" t="s">
        <v>358</v>
      </c>
      <c r="J138" s="81">
        <v>230</v>
      </c>
    </row>
    <row r="139" spans="2:10">
      <c r="B139" s="392" t="str">
        <f>Table1[[#This Row],[Cost Center Name]]&amp;Table1[[#This Row],[Job Name]]&amp;" "&amp;"-"&amp;" "&amp;Table1[[#This Row],[Job Code]]</f>
        <v>CS Security ServicesSecurity.Technician - 100161</v>
      </c>
      <c r="C139" s="392" t="s">
        <v>354</v>
      </c>
      <c r="D139" s="392" t="s">
        <v>185</v>
      </c>
      <c r="E139" s="392" t="s">
        <v>400</v>
      </c>
      <c r="F139" s="81" t="s">
        <v>452</v>
      </c>
      <c r="G139" s="81">
        <v>100161</v>
      </c>
      <c r="H139" s="392" t="s">
        <v>448</v>
      </c>
      <c r="I139" s="392" t="s">
        <v>358</v>
      </c>
      <c r="J139" s="81">
        <v>108.1</v>
      </c>
    </row>
    <row r="140" spans="2:10">
      <c r="B140" s="392" t="str">
        <f>Table1[[#This Row],[Cost Center Name]]&amp;Table1[[#This Row],[Job Name]]&amp;" "&amp;"-"&amp;" "&amp;Table1[[#This Row],[Job Code]]</f>
        <v>CS Security ServicesSecurity.Sr Consultant - 100273</v>
      </c>
      <c r="C140" s="392" t="s">
        <v>354</v>
      </c>
      <c r="D140" s="392" t="s">
        <v>185</v>
      </c>
      <c r="E140" s="392" t="s">
        <v>400</v>
      </c>
      <c r="F140" s="81" t="s">
        <v>452</v>
      </c>
      <c r="G140" s="81">
        <v>100273</v>
      </c>
      <c r="H140" s="392" t="s">
        <v>449</v>
      </c>
      <c r="I140" s="392" t="s">
        <v>358</v>
      </c>
      <c r="J140" s="81">
        <v>207</v>
      </c>
    </row>
    <row r="141" spans="2:10">
      <c r="B141" s="392" t="str">
        <f>Table1[[#This Row],[Cost Center Name]]&amp;Table1[[#This Row],[Job Name]]&amp;" "&amp;"-"&amp;" "&amp;Table1[[#This Row],[Job Code]]</f>
        <v>IS CM Command Center Tier 1COMM Cntr.Contact 1 - 100054</v>
      </c>
      <c r="C141" s="392" t="s">
        <v>354</v>
      </c>
      <c r="D141" s="392" t="s">
        <v>185</v>
      </c>
      <c r="E141" s="392" t="s">
        <v>453</v>
      </c>
      <c r="F141" s="81" t="s">
        <v>454</v>
      </c>
      <c r="G141" s="81">
        <v>100054</v>
      </c>
      <c r="H141" s="392" t="s">
        <v>455</v>
      </c>
      <c r="I141" s="392" t="s">
        <v>358</v>
      </c>
      <c r="J141" s="81">
        <v>54.81</v>
      </c>
    </row>
    <row r="142" spans="2:10">
      <c r="B142" s="392" t="str">
        <f>Table1[[#This Row],[Cost Center Name]]&amp;Table1[[#This Row],[Job Name]]&amp;" "&amp;"-"&amp;" "&amp;Table1[[#This Row],[Job Code]]</f>
        <v>IS CM OverheadServices Overhead.Manager - 100148</v>
      </c>
      <c r="C142" s="392" t="s">
        <v>354</v>
      </c>
      <c r="D142" s="392" t="s">
        <v>185</v>
      </c>
      <c r="E142" s="392" t="s">
        <v>453</v>
      </c>
      <c r="F142" s="81" t="s">
        <v>456</v>
      </c>
      <c r="G142" s="81">
        <v>100148</v>
      </c>
      <c r="H142" s="392" t="s">
        <v>362</v>
      </c>
      <c r="I142" s="392" t="s">
        <v>358</v>
      </c>
      <c r="J142" s="81">
        <v>159.75</v>
      </c>
    </row>
    <row r="143" spans="2:10">
      <c r="B143" s="392" t="str">
        <f>Table1[[#This Row],[Cost Center Name]]&amp;Table1[[#This Row],[Job Name]]&amp;" "&amp;"-"&amp;" "&amp;Table1[[#This Row],[Job Code]]</f>
        <v>IS CM OverheadServices Overhead.Staff - 100149</v>
      </c>
      <c r="C143" s="392" t="s">
        <v>354</v>
      </c>
      <c r="D143" s="392" t="s">
        <v>185</v>
      </c>
      <c r="E143" s="392" t="s">
        <v>453</v>
      </c>
      <c r="F143" s="81" t="s">
        <v>456</v>
      </c>
      <c r="G143" s="81">
        <v>100149</v>
      </c>
      <c r="H143" s="392" t="s">
        <v>363</v>
      </c>
      <c r="I143" s="392" t="s">
        <v>358</v>
      </c>
      <c r="J143" s="81">
        <v>99</v>
      </c>
    </row>
    <row r="144" spans="2:10">
      <c r="B144" s="392" t="str">
        <f>Table1[[#This Row],[Cost Center Name]]&amp;Table1[[#This Row],[Job Name]]&amp;" "&amp;"-"&amp;" "&amp;Table1[[#This Row],[Job Code]]</f>
        <v>IS DS AllctdEngineering.Coordinator - 100107</v>
      </c>
      <c r="C144" s="392" t="s">
        <v>354</v>
      </c>
      <c r="D144" s="392" t="s">
        <v>185</v>
      </c>
      <c r="E144" s="392" t="s">
        <v>453</v>
      </c>
      <c r="F144" s="81" t="s">
        <v>457</v>
      </c>
      <c r="G144" s="81">
        <v>100107</v>
      </c>
      <c r="H144" s="392" t="s">
        <v>458</v>
      </c>
      <c r="I144" s="392" t="s">
        <v>358</v>
      </c>
      <c r="J144" s="81">
        <v>76.5</v>
      </c>
    </row>
    <row r="145" spans="2:10">
      <c r="B145" s="392" t="str">
        <f>Table1[[#This Row],[Cost Center Name]]&amp;Table1[[#This Row],[Job Name]]&amp;" "&amp;"-"&amp;" "&amp;Table1[[#This Row],[Job Code]]</f>
        <v>IS DS AllctdServices Overhead.Manager - 100148</v>
      </c>
      <c r="C145" s="392" t="s">
        <v>354</v>
      </c>
      <c r="D145" s="392" t="s">
        <v>185</v>
      </c>
      <c r="E145" s="392" t="s">
        <v>453</v>
      </c>
      <c r="F145" s="81" t="s">
        <v>457</v>
      </c>
      <c r="G145" s="81">
        <v>100148</v>
      </c>
      <c r="H145" s="392" t="s">
        <v>362</v>
      </c>
      <c r="I145" s="392" t="s">
        <v>358</v>
      </c>
      <c r="J145" s="81">
        <v>159.75</v>
      </c>
    </row>
    <row r="146" spans="2:10">
      <c r="B146" s="392" t="str">
        <f>Table1[[#This Row],[Cost Center Name]]&amp;Table1[[#This Row],[Job Name]]&amp;" "&amp;"-"&amp;" "&amp;Table1[[#This Row],[Job Code]]</f>
        <v>IS DS AllctdServices Overhead.Staff - 100149</v>
      </c>
      <c r="C146" s="392" t="s">
        <v>354</v>
      </c>
      <c r="D146" s="392" t="s">
        <v>185</v>
      </c>
      <c r="E146" s="392" t="s">
        <v>453</v>
      </c>
      <c r="F146" s="81" t="s">
        <v>457</v>
      </c>
      <c r="G146" s="81">
        <v>100149</v>
      </c>
      <c r="H146" s="392" t="s">
        <v>363</v>
      </c>
      <c r="I146" s="392" t="s">
        <v>358</v>
      </c>
      <c r="J146" s="81">
        <v>99</v>
      </c>
    </row>
    <row r="147" spans="2:10">
      <c r="B147" s="392" t="str">
        <f>Table1[[#This Row],[Cost Center Name]]&amp;Table1[[#This Row],[Job Name]]&amp;" "&amp;"-"&amp;" "&amp;Table1[[#This Row],[Job Code]]</f>
        <v>IS DS AllctdTraining.Sr Engineer - 100174</v>
      </c>
      <c r="C147" s="392" t="s">
        <v>354</v>
      </c>
      <c r="D147" s="392" t="s">
        <v>185</v>
      </c>
      <c r="E147" s="392" t="s">
        <v>453</v>
      </c>
      <c r="F147" s="81" t="s">
        <v>457</v>
      </c>
      <c r="G147" s="81">
        <v>100174</v>
      </c>
      <c r="H147" s="392" t="s">
        <v>459</v>
      </c>
      <c r="I147" s="392" t="s">
        <v>358</v>
      </c>
      <c r="J147" s="81">
        <v>166.5</v>
      </c>
    </row>
    <row r="148" spans="2:10">
      <c r="B148" s="392" t="str">
        <f>Table1[[#This Row],[Cost Center Name]]&amp;Table1[[#This Row],[Job Name]]&amp;" "&amp;"-"&amp;" "&amp;Table1[[#This Row],[Job Code]]</f>
        <v>IS DS AutomationR&amp;S.Sr Engineer - 100153</v>
      </c>
      <c r="C148" s="392" t="s">
        <v>354</v>
      </c>
      <c r="D148" s="392" t="s">
        <v>185</v>
      </c>
      <c r="E148" s="392" t="s">
        <v>453</v>
      </c>
      <c r="F148" s="81" t="s">
        <v>460</v>
      </c>
      <c r="G148" s="81">
        <v>100153</v>
      </c>
      <c r="H148" s="392" t="s">
        <v>461</v>
      </c>
      <c r="I148" s="392" t="s">
        <v>358</v>
      </c>
      <c r="J148" s="81">
        <v>194.4</v>
      </c>
    </row>
    <row r="149" spans="2:10">
      <c r="B149" s="392" t="str">
        <f>Table1[[#This Row],[Cost Center Name]]&amp;Table1[[#This Row],[Job Name]]&amp;" "&amp;"-"&amp;" "&amp;Table1[[#This Row],[Job Code]]</f>
        <v>IS DS AutomationAutomation.Engineer - 100261</v>
      </c>
      <c r="C149" s="392" t="s">
        <v>354</v>
      </c>
      <c r="D149" s="392" t="s">
        <v>185</v>
      </c>
      <c r="E149" s="392" t="s">
        <v>453</v>
      </c>
      <c r="F149" s="81" t="s">
        <v>460</v>
      </c>
      <c r="G149" s="81">
        <v>100261</v>
      </c>
      <c r="H149" s="392" t="s">
        <v>462</v>
      </c>
      <c r="I149" s="392" t="s">
        <v>358</v>
      </c>
      <c r="J149" s="81">
        <v>167.67</v>
      </c>
    </row>
    <row r="150" spans="2:10">
      <c r="B150" s="392" t="str">
        <f>Table1[[#This Row],[Cost Center Name]]&amp;Table1[[#This Row],[Job Name]]&amp;" "&amp;"-"&amp;" "&amp;Table1[[#This Row],[Job Code]]</f>
        <v>IS DS AutomationAutomation.Architect - 100262</v>
      </c>
      <c r="C150" s="392" t="s">
        <v>354</v>
      </c>
      <c r="D150" s="392" t="s">
        <v>185</v>
      </c>
      <c r="E150" s="392" t="s">
        <v>453</v>
      </c>
      <c r="F150" s="81" t="s">
        <v>460</v>
      </c>
      <c r="G150" s="81">
        <v>100262</v>
      </c>
      <c r="H150" s="392" t="s">
        <v>407</v>
      </c>
      <c r="I150" s="392" t="s">
        <v>358</v>
      </c>
      <c r="J150" s="81">
        <v>218.7</v>
      </c>
    </row>
    <row r="151" spans="2:10">
      <c r="B151" s="392" t="str">
        <f>Table1[[#This Row],[Cost Center Name]]&amp;Table1[[#This Row],[Job Name]]&amp;" "&amp;"-"&amp;" "&amp;Table1[[#This Row],[Job Code]]</f>
        <v>IS DS AutomationAutomation.Sr Engineer - 100272</v>
      </c>
      <c r="C151" s="392" t="s">
        <v>354</v>
      </c>
      <c r="D151" s="392" t="s">
        <v>185</v>
      </c>
      <c r="E151" s="392" t="s">
        <v>453</v>
      </c>
      <c r="F151" s="81" t="s">
        <v>460</v>
      </c>
      <c r="G151" s="81">
        <v>100272</v>
      </c>
      <c r="H151" s="392" t="s">
        <v>463</v>
      </c>
      <c r="I151" s="392" t="s">
        <v>358</v>
      </c>
      <c r="J151" s="81">
        <v>182.25</v>
      </c>
    </row>
    <row r="152" spans="2:10">
      <c r="B152" s="392" t="str">
        <f>Table1[[#This Row],[Cost Center Name]]&amp;Table1[[#This Row],[Job Name]]&amp;" "&amp;"-"&amp;" "&amp;Table1[[#This Row],[Job Code]]</f>
        <v>IS DS CommonSpirit PMOProject Management.PgM - 100138</v>
      </c>
      <c r="C152" s="392" t="s">
        <v>354</v>
      </c>
      <c r="D152" s="392" t="s">
        <v>185</v>
      </c>
      <c r="E152" s="392" t="s">
        <v>453</v>
      </c>
      <c r="F152" s="81" t="s">
        <v>464</v>
      </c>
      <c r="G152" s="81">
        <v>100138</v>
      </c>
      <c r="H152" s="392" t="s">
        <v>465</v>
      </c>
      <c r="I152" s="392" t="s">
        <v>358</v>
      </c>
      <c r="J152" s="81">
        <v>141.75</v>
      </c>
    </row>
    <row r="153" spans="2:10">
      <c r="B153" s="392" t="str">
        <f>Table1[[#This Row],[Cost Center Name]]&amp;Table1[[#This Row],[Job Name]]&amp;" "&amp;"-"&amp;" "&amp;Table1[[#This Row],[Job Code]]</f>
        <v>IS DS Ddctd Principal ArchtctsPrincipal.Architect - 100305</v>
      </c>
      <c r="C153" s="392" t="s">
        <v>354</v>
      </c>
      <c r="D153" s="392" t="s">
        <v>185</v>
      </c>
      <c r="E153" s="392" t="s">
        <v>453</v>
      </c>
      <c r="F153" s="81" t="s">
        <v>466</v>
      </c>
      <c r="G153" s="81">
        <v>100305</v>
      </c>
      <c r="H153" s="392" t="s">
        <v>467</v>
      </c>
      <c r="I153" s="392" t="s">
        <v>358</v>
      </c>
      <c r="J153" s="81">
        <v>162.80000000000001</v>
      </c>
    </row>
    <row r="154" spans="2:10">
      <c r="B154" s="392" t="str">
        <f>Table1[[#This Row],[Cost Center Name]]&amp;Table1[[#This Row],[Job Name]]&amp;" "&amp;"-"&amp;" "&amp;Table1[[#This Row],[Job Code]]</f>
        <v>IS DS Dedicated ArchitectsData Center.Architect - 100080</v>
      </c>
      <c r="C154" s="392" t="s">
        <v>354</v>
      </c>
      <c r="D154" s="392" t="s">
        <v>185</v>
      </c>
      <c r="E154" s="392" t="s">
        <v>453</v>
      </c>
      <c r="F154" s="81" t="s">
        <v>468</v>
      </c>
      <c r="G154" s="81">
        <v>100080</v>
      </c>
      <c r="H154" s="392" t="s">
        <v>469</v>
      </c>
      <c r="I154" s="392" t="s">
        <v>358</v>
      </c>
      <c r="J154" s="81">
        <v>157.25</v>
      </c>
    </row>
    <row r="155" spans="2:10">
      <c r="B155" s="392" t="str">
        <f>Table1[[#This Row],[Cost Center Name]]&amp;Table1[[#This Row],[Job Name]]&amp;" "&amp;"-"&amp;" "&amp;Table1[[#This Row],[Job Code]]</f>
        <v>IS DS Dedicated ArchitectsR&amp;S.Architect - 100151</v>
      </c>
      <c r="C155" s="392" t="s">
        <v>354</v>
      </c>
      <c r="D155" s="392" t="s">
        <v>185</v>
      </c>
      <c r="E155" s="392" t="s">
        <v>453</v>
      </c>
      <c r="F155" s="81" t="s">
        <v>468</v>
      </c>
      <c r="G155" s="81">
        <v>100151</v>
      </c>
      <c r="H155" s="392" t="s">
        <v>470</v>
      </c>
      <c r="I155" s="392" t="s">
        <v>358</v>
      </c>
      <c r="J155" s="81">
        <v>160.94999999999999</v>
      </c>
    </row>
    <row r="156" spans="2:10">
      <c r="B156" s="392" t="str">
        <f>Table1[[#This Row],[Cost Center Name]]&amp;Table1[[#This Row],[Job Name]]&amp;" "&amp;"-"&amp;" "&amp;Table1[[#This Row],[Job Code]]</f>
        <v>IS DS Dedicated ArchitectsVoice.Architect - 100176</v>
      </c>
      <c r="C156" s="392" t="s">
        <v>354</v>
      </c>
      <c r="D156" s="392" t="s">
        <v>185</v>
      </c>
      <c r="E156" s="392" t="s">
        <v>453</v>
      </c>
      <c r="F156" s="81" t="s">
        <v>468</v>
      </c>
      <c r="G156" s="81">
        <v>100176</v>
      </c>
      <c r="H156" s="392" t="s">
        <v>471</v>
      </c>
      <c r="I156" s="392" t="s">
        <v>358</v>
      </c>
      <c r="J156" s="81">
        <v>164.65</v>
      </c>
    </row>
    <row r="157" spans="2:10">
      <c r="B157" s="392" t="str">
        <f>Table1[[#This Row],[Cost Center Name]]&amp;Table1[[#This Row],[Job Name]]&amp;" "&amp;"-"&amp;" "&amp;Table1[[#This Row],[Job Code]]</f>
        <v>IS DS Dedicated ArchitectsOptical.Architect - 100282</v>
      </c>
      <c r="C157" s="392" t="s">
        <v>354</v>
      </c>
      <c r="D157" s="392" t="s">
        <v>185</v>
      </c>
      <c r="E157" s="392" t="s">
        <v>453</v>
      </c>
      <c r="F157" s="81" t="s">
        <v>468</v>
      </c>
      <c r="G157" s="81">
        <v>100282</v>
      </c>
      <c r="H157" s="392" t="s">
        <v>472</v>
      </c>
      <c r="I157" s="392" t="s">
        <v>358</v>
      </c>
      <c r="J157" s="81">
        <v>146.15</v>
      </c>
    </row>
    <row r="158" spans="2:10">
      <c r="B158" s="392" t="str">
        <f>Table1[[#This Row],[Cost Center Name]]&amp;Table1[[#This Row],[Job Name]]&amp;" "&amp;"-"&amp;" "&amp;Table1[[#This Row],[Job Code]]</f>
        <v>IS DS Dedicated EngData Center.Sr Engineer - 100082</v>
      </c>
      <c r="C158" s="392" t="s">
        <v>354</v>
      </c>
      <c r="D158" s="392" t="s">
        <v>185</v>
      </c>
      <c r="E158" s="392" t="s">
        <v>453</v>
      </c>
      <c r="F158" s="81" t="s">
        <v>473</v>
      </c>
      <c r="G158" s="81">
        <v>100082</v>
      </c>
      <c r="H158" s="392" t="s">
        <v>474</v>
      </c>
      <c r="I158" s="392" t="s">
        <v>358</v>
      </c>
      <c r="J158" s="81">
        <v>140.6</v>
      </c>
    </row>
    <row r="159" spans="2:10">
      <c r="B159" s="392" t="str">
        <f>Table1[[#This Row],[Cost Center Name]]&amp;Table1[[#This Row],[Job Name]]&amp;" "&amp;"-"&amp;" "&amp;Table1[[#This Row],[Job Code]]</f>
        <v>IS DS Dedicated EngEUC.Sr Engineer - 100110</v>
      </c>
      <c r="C159" s="392" t="s">
        <v>354</v>
      </c>
      <c r="D159" s="392" t="s">
        <v>185</v>
      </c>
      <c r="E159" s="392" t="s">
        <v>453</v>
      </c>
      <c r="F159" s="81" t="s">
        <v>473</v>
      </c>
      <c r="G159" s="81">
        <v>100110</v>
      </c>
      <c r="H159" s="392" t="s">
        <v>475</v>
      </c>
      <c r="I159" s="392" t="s">
        <v>358</v>
      </c>
      <c r="J159" s="81">
        <v>123.95</v>
      </c>
    </row>
    <row r="160" spans="2:10">
      <c r="B160" s="392" t="str">
        <f>Table1[[#This Row],[Cost Center Name]]&amp;Table1[[#This Row],[Job Name]]&amp;" "&amp;"-"&amp;" "&amp;Table1[[#This Row],[Job Code]]</f>
        <v>IS DS Dedicated EngR&amp;S.Engineer - 100152</v>
      </c>
      <c r="C160" s="392" t="s">
        <v>354</v>
      </c>
      <c r="D160" s="392" t="s">
        <v>185</v>
      </c>
      <c r="E160" s="392" t="s">
        <v>453</v>
      </c>
      <c r="F160" s="81" t="s">
        <v>473</v>
      </c>
      <c r="G160" s="81">
        <v>100152</v>
      </c>
      <c r="H160" s="392" t="s">
        <v>476</v>
      </c>
      <c r="I160" s="392" t="s">
        <v>358</v>
      </c>
      <c r="J160" s="81">
        <v>107.3</v>
      </c>
    </row>
    <row r="161" spans="2:10">
      <c r="B161" s="392" t="str">
        <f>Table1[[#This Row],[Cost Center Name]]&amp;Table1[[#This Row],[Job Name]]&amp;" "&amp;"-"&amp;" "&amp;Table1[[#This Row],[Job Code]]</f>
        <v>IS DS Dedicated EngR&amp;S.Sr Engineer - 100153</v>
      </c>
      <c r="C161" s="392" t="s">
        <v>354</v>
      </c>
      <c r="D161" s="392" t="s">
        <v>185</v>
      </c>
      <c r="E161" s="392" t="s">
        <v>453</v>
      </c>
      <c r="F161" s="81" t="s">
        <v>473</v>
      </c>
      <c r="G161" s="81">
        <v>100153</v>
      </c>
      <c r="H161" s="392" t="s">
        <v>461</v>
      </c>
      <c r="I161" s="392" t="s">
        <v>358</v>
      </c>
      <c r="J161" s="81">
        <v>148</v>
      </c>
    </row>
    <row r="162" spans="2:10">
      <c r="B162" s="392" t="str">
        <f>Table1[[#This Row],[Cost Center Name]]&amp;Table1[[#This Row],[Job Name]]&amp;" "&amp;"-"&amp;" "&amp;Table1[[#This Row],[Job Code]]</f>
        <v>IS DS Dedicated EngSecurity.Sr Engineer - 100160</v>
      </c>
      <c r="C162" s="392" t="s">
        <v>354</v>
      </c>
      <c r="D162" s="392" t="s">
        <v>185</v>
      </c>
      <c r="E162" s="392" t="s">
        <v>453</v>
      </c>
      <c r="F162" s="81" t="s">
        <v>473</v>
      </c>
      <c r="G162" s="81">
        <v>100160</v>
      </c>
      <c r="H162" s="392" t="s">
        <v>477</v>
      </c>
      <c r="I162" s="392" t="s">
        <v>358</v>
      </c>
      <c r="J162" s="81">
        <v>146.15</v>
      </c>
    </row>
    <row r="163" spans="2:10">
      <c r="B163" s="392" t="str">
        <f>Table1[[#This Row],[Cost Center Name]]&amp;Table1[[#This Row],[Job Name]]&amp;" "&amp;"-"&amp;" "&amp;Table1[[#This Row],[Job Code]]</f>
        <v>IS DS Dedicated EngVoice.Engineer - 100177</v>
      </c>
      <c r="C163" s="392" t="s">
        <v>354</v>
      </c>
      <c r="D163" s="392" t="s">
        <v>185</v>
      </c>
      <c r="E163" s="392" t="s">
        <v>453</v>
      </c>
      <c r="F163" s="81" t="s">
        <v>473</v>
      </c>
      <c r="G163" s="81">
        <v>100177</v>
      </c>
      <c r="H163" s="392" t="s">
        <v>478</v>
      </c>
      <c r="I163" s="392" t="s">
        <v>358</v>
      </c>
      <c r="J163" s="81">
        <v>116.55</v>
      </c>
    </row>
    <row r="164" spans="2:10">
      <c r="B164" s="392" t="str">
        <f>Table1[[#This Row],[Cost Center Name]]&amp;Table1[[#This Row],[Job Name]]&amp;" "&amp;"-"&amp;" "&amp;Table1[[#This Row],[Job Code]]</f>
        <v>IS DS Dedicated EngVoice.Sr Engineer - 100178</v>
      </c>
      <c r="C164" s="392" t="s">
        <v>354</v>
      </c>
      <c r="D164" s="392" t="s">
        <v>185</v>
      </c>
      <c r="E164" s="392" t="s">
        <v>453</v>
      </c>
      <c r="F164" s="81" t="s">
        <v>473</v>
      </c>
      <c r="G164" s="81">
        <v>100178</v>
      </c>
      <c r="H164" s="392" t="s">
        <v>479</v>
      </c>
      <c r="I164" s="392" t="s">
        <v>358</v>
      </c>
      <c r="J164" s="81">
        <v>142.44999999999999</v>
      </c>
    </row>
    <row r="165" spans="2:10">
      <c r="B165" s="392" t="str">
        <f>Table1[[#This Row],[Cost Center Name]]&amp;Table1[[#This Row],[Job Name]]&amp;" "&amp;"-"&amp;" "&amp;Table1[[#This Row],[Job Code]]</f>
        <v>IS DS Dedicated EngVoice.Sr Engineer UCCE - 100179</v>
      </c>
      <c r="C165" s="392" t="s">
        <v>354</v>
      </c>
      <c r="D165" s="392" t="s">
        <v>185</v>
      </c>
      <c r="E165" s="392" t="s">
        <v>453</v>
      </c>
      <c r="F165" s="81" t="s">
        <v>473</v>
      </c>
      <c r="G165" s="81">
        <v>100179</v>
      </c>
      <c r="H165" s="392" t="s">
        <v>480</v>
      </c>
      <c r="I165" s="392" t="s">
        <v>358</v>
      </c>
      <c r="J165" s="81">
        <v>164.65</v>
      </c>
    </row>
    <row r="166" spans="2:10">
      <c r="B166" s="392" t="str">
        <f>Table1[[#This Row],[Cost Center Name]]&amp;Table1[[#This Row],[Job Name]]&amp;" "&amp;"-"&amp;" "&amp;Table1[[#This Row],[Job Code]]</f>
        <v>IS DS Dedicated EngWireless.Sr Engineer - 100182</v>
      </c>
      <c r="C166" s="392" t="s">
        <v>354</v>
      </c>
      <c r="D166" s="392" t="s">
        <v>185</v>
      </c>
      <c r="E166" s="392" t="s">
        <v>453</v>
      </c>
      <c r="F166" s="81" t="s">
        <v>473</v>
      </c>
      <c r="G166" s="81">
        <v>100182</v>
      </c>
      <c r="H166" s="392" t="s">
        <v>481</v>
      </c>
      <c r="I166" s="392" t="s">
        <v>358</v>
      </c>
      <c r="J166" s="81">
        <v>131.35</v>
      </c>
    </row>
    <row r="167" spans="2:10">
      <c r="B167" s="392" t="str">
        <f>Table1[[#This Row],[Cost Center Name]]&amp;Table1[[#This Row],[Job Name]]&amp;" "&amp;"-"&amp;" "&amp;Table1[[#This Row],[Job Code]]</f>
        <v>IS DS Dedicated EngAutomation.Engineer - 100261</v>
      </c>
      <c r="C167" s="392" t="s">
        <v>354</v>
      </c>
      <c r="D167" s="392" t="s">
        <v>185</v>
      </c>
      <c r="E167" s="392" t="s">
        <v>453</v>
      </c>
      <c r="F167" s="81" t="s">
        <v>473</v>
      </c>
      <c r="G167" s="81">
        <v>100261</v>
      </c>
      <c r="H167" s="392" t="s">
        <v>462</v>
      </c>
      <c r="I167" s="392" t="s">
        <v>358</v>
      </c>
      <c r="J167" s="81">
        <v>127.65</v>
      </c>
    </row>
    <row r="168" spans="2:10">
      <c r="B168" s="392" t="str">
        <f>Table1[[#This Row],[Cost Center Name]]&amp;Table1[[#This Row],[Job Name]]&amp;" "&amp;"-"&amp;" "&amp;Table1[[#This Row],[Job Code]]</f>
        <v>IS DS Dedicated EngAutomation.Architect - 100262</v>
      </c>
      <c r="C168" s="392" t="s">
        <v>354</v>
      </c>
      <c r="D168" s="392" t="s">
        <v>185</v>
      </c>
      <c r="E168" s="392" t="s">
        <v>453</v>
      </c>
      <c r="F168" s="81" t="s">
        <v>473</v>
      </c>
      <c r="G168" s="81">
        <v>100262</v>
      </c>
      <c r="H168" s="392" t="s">
        <v>407</v>
      </c>
      <c r="I168" s="392" t="s">
        <v>358</v>
      </c>
      <c r="J168" s="81">
        <v>166.5</v>
      </c>
    </row>
    <row r="169" spans="2:10">
      <c r="B169" s="392" t="str">
        <f>Table1[[#This Row],[Cost Center Name]]&amp;Table1[[#This Row],[Job Name]]&amp;" "&amp;"-"&amp;" "&amp;Table1[[#This Row],[Job Code]]</f>
        <v>IS DS Dedicated PMOProject Management.PgM - 100138</v>
      </c>
      <c r="C169" s="392" t="s">
        <v>354</v>
      </c>
      <c r="D169" s="392" t="s">
        <v>185</v>
      </c>
      <c r="E169" s="392" t="s">
        <v>453</v>
      </c>
      <c r="F169" s="81" t="s">
        <v>482</v>
      </c>
      <c r="G169" s="81">
        <v>100138</v>
      </c>
      <c r="H169" s="392" t="s">
        <v>465</v>
      </c>
      <c r="I169" s="392" t="s">
        <v>358</v>
      </c>
      <c r="J169" s="81">
        <v>143.25</v>
      </c>
    </row>
    <row r="170" spans="2:10">
      <c r="B170" s="392" t="str">
        <f>Table1[[#This Row],[Cost Center Name]]&amp;Table1[[#This Row],[Job Name]]&amp;" "&amp;"-"&amp;" "&amp;Table1[[#This Row],[Job Code]]</f>
        <v>IS DS Dedicated PMOProject Management.PM - 100139</v>
      </c>
      <c r="C170" s="392" t="s">
        <v>354</v>
      </c>
      <c r="D170" s="392" t="s">
        <v>185</v>
      </c>
      <c r="E170" s="392" t="s">
        <v>453</v>
      </c>
      <c r="F170" s="81" t="s">
        <v>482</v>
      </c>
      <c r="G170" s="81">
        <v>100139</v>
      </c>
      <c r="H170" s="392" t="s">
        <v>313</v>
      </c>
      <c r="I170" s="392" t="s">
        <v>358</v>
      </c>
      <c r="J170" s="81">
        <v>87.86</v>
      </c>
    </row>
    <row r="171" spans="2:10">
      <c r="B171" s="392" t="str">
        <f>Table1[[#This Row],[Cost Center Name]]&amp;Table1[[#This Row],[Job Name]]&amp;" "&amp;"-"&amp;" "&amp;Table1[[#This Row],[Job Code]]</f>
        <v>IS DS Dedicated PMOProject Management.Proj Coor - 100140</v>
      </c>
      <c r="C171" s="392" t="s">
        <v>354</v>
      </c>
      <c r="D171" s="392" t="s">
        <v>185</v>
      </c>
      <c r="E171" s="392" t="s">
        <v>453</v>
      </c>
      <c r="F171" s="81" t="s">
        <v>482</v>
      </c>
      <c r="G171" s="81">
        <v>100140</v>
      </c>
      <c r="H171" s="392" t="s">
        <v>311</v>
      </c>
      <c r="I171" s="392" t="s">
        <v>358</v>
      </c>
      <c r="J171" s="81">
        <v>61.12</v>
      </c>
    </row>
    <row r="172" spans="2:10">
      <c r="B172" s="392" t="str">
        <f>Table1[[#This Row],[Cost Center Name]]&amp;Table1[[#This Row],[Job Name]]&amp;" "&amp;"-"&amp;" "&amp;Table1[[#This Row],[Job Code]]</f>
        <v>IS DS Dedicated PMOProject Management.Sr PM - 100142</v>
      </c>
      <c r="C172" s="392" t="s">
        <v>354</v>
      </c>
      <c r="D172" s="392" t="s">
        <v>185</v>
      </c>
      <c r="E172" s="392" t="s">
        <v>453</v>
      </c>
      <c r="F172" s="81" t="s">
        <v>482</v>
      </c>
      <c r="G172" s="81">
        <v>100142</v>
      </c>
      <c r="H172" s="392" t="s">
        <v>305</v>
      </c>
      <c r="I172" s="392" t="s">
        <v>358</v>
      </c>
      <c r="J172" s="81">
        <v>124.15</v>
      </c>
    </row>
    <row r="173" spans="2:10">
      <c r="B173" s="392" t="str">
        <f>Table1[[#This Row],[Cost Center Name]]&amp;Table1[[#This Row],[Job Name]]&amp;" "&amp;"-"&amp;" "&amp;Table1[[#This Row],[Job Code]]</f>
        <v>IS DS Domain ArchitectsCommand Center.Architect - 100055</v>
      </c>
      <c r="C173" s="392" t="s">
        <v>354</v>
      </c>
      <c r="D173" s="392" t="s">
        <v>185</v>
      </c>
      <c r="E173" s="392" t="s">
        <v>453</v>
      </c>
      <c r="F173" s="81" t="s">
        <v>483</v>
      </c>
      <c r="G173" s="81">
        <v>100055</v>
      </c>
      <c r="H173" s="392" t="s">
        <v>484</v>
      </c>
      <c r="I173" s="392" t="s">
        <v>358</v>
      </c>
      <c r="J173" s="81">
        <v>190.96</v>
      </c>
    </row>
    <row r="174" spans="2:10">
      <c r="B174" s="392" t="str">
        <f>Table1[[#This Row],[Cost Center Name]]&amp;Table1[[#This Row],[Job Name]]&amp;" "&amp;"-"&amp;" "&amp;Table1[[#This Row],[Job Code]]</f>
        <v>IS DS Domain ArchitectsData Center.Architect - 100080</v>
      </c>
      <c r="C174" s="392" t="s">
        <v>354</v>
      </c>
      <c r="D174" s="392" t="s">
        <v>185</v>
      </c>
      <c r="E174" s="392" t="s">
        <v>453</v>
      </c>
      <c r="F174" s="81" t="s">
        <v>483</v>
      </c>
      <c r="G174" s="81">
        <v>100080</v>
      </c>
      <c r="H174" s="392" t="s">
        <v>469</v>
      </c>
      <c r="I174" s="392" t="s">
        <v>358</v>
      </c>
      <c r="J174" s="81">
        <v>210.8</v>
      </c>
    </row>
    <row r="175" spans="2:10">
      <c r="B175" s="392" t="str">
        <f>Table1[[#This Row],[Cost Center Name]]&amp;Table1[[#This Row],[Job Name]]&amp;" "&amp;"-"&amp;" "&amp;Table1[[#This Row],[Job Code]]</f>
        <v>IS DS Domain ArchitectsR&amp;S.Architect - 100151</v>
      </c>
      <c r="C175" s="392" t="s">
        <v>354</v>
      </c>
      <c r="D175" s="392" t="s">
        <v>185</v>
      </c>
      <c r="E175" s="392" t="s">
        <v>453</v>
      </c>
      <c r="F175" s="81" t="s">
        <v>483</v>
      </c>
      <c r="G175" s="81">
        <v>100151</v>
      </c>
      <c r="H175" s="392" t="s">
        <v>470</v>
      </c>
      <c r="I175" s="392" t="s">
        <v>358</v>
      </c>
      <c r="J175" s="81">
        <v>215.76</v>
      </c>
    </row>
    <row r="176" spans="2:10">
      <c r="B176" s="392" t="str">
        <f>Table1[[#This Row],[Cost Center Name]]&amp;Table1[[#This Row],[Job Name]]&amp;" "&amp;"-"&amp;" "&amp;Table1[[#This Row],[Job Code]]</f>
        <v>IS DS Domain ArchitectsR&amp;S.Sr Engineer - 100153</v>
      </c>
      <c r="C176" s="392" t="s">
        <v>354</v>
      </c>
      <c r="D176" s="392" t="s">
        <v>185</v>
      </c>
      <c r="E176" s="392" t="s">
        <v>453</v>
      </c>
      <c r="F176" s="81" t="s">
        <v>483</v>
      </c>
      <c r="G176" s="81">
        <v>100153</v>
      </c>
      <c r="H176" s="392" t="s">
        <v>461</v>
      </c>
      <c r="I176" s="392" t="s">
        <v>358</v>
      </c>
      <c r="J176" s="81">
        <v>198.4</v>
      </c>
    </row>
    <row r="177" spans="2:10">
      <c r="B177" s="392" t="str">
        <f>Table1[[#This Row],[Cost Center Name]]&amp;Table1[[#This Row],[Job Name]]&amp;" "&amp;"-"&amp;" "&amp;Table1[[#This Row],[Job Code]]</f>
        <v>IS DS Domain ArchitectsSecurity.Architect - 100155</v>
      </c>
      <c r="C177" s="392" t="s">
        <v>354</v>
      </c>
      <c r="D177" s="392" t="s">
        <v>185</v>
      </c>
      <c r="E177" s="392" t="s">
        <v>453</v>
      </c>
      <c r="F177" s="81" t="s">
        <v>483</v>
      </c>
      <c r="G177" s="81">
        <v>100155</v>
      </c>
      <c r="H177" s="392" t="s">
        <v>485</v>
      </c>
      <c r="I177" s="392" t="s">
        <v>358</v>
      </c>
      <c r="J177" s="81">
        <v>220.72</v>
      </c>
    </row>
    <row r="178" spans="2:10">
      <c r="B178" s="392" t="str">
        <f>Table1[[#This Row],[Cost Center Name]]&amp;Table1[[#This Row],[Job Name]]&amp;" "&amp;"-"&amp;" "&amp;Table1[[#This Row],[Job Code]]</f>
        <v>IS DS Domain ArchitectsVoice.Architect - 100176</v>
      </c>
      <c r="C178" s="392" t="s">
        <v>354</v>
      </c>
      <c r="D178" s="392" t="s">
        <v>185</v>
      </c>
      <c r="E178" s="392" t="s">
        <v>453</v>
      </c>
      <c r="F178" s="81" t="s">
        <v>483</v>
      </c>
      <c r="G178" s="81">
        <v>100176</v>
      </c>
      <c r="H178" s="392" t="s">
        <v>471</v>
      </c>
      <c r="I178" s="392" t="s">
        <v>358</v>
      </c>
      <c r="J178" s="81">
        <v>220.72</v>
      </c>
    </row>
    <row r="179" spans="2:10">
      <c r="B179" s="392" t="str">
        <f>Table1[[#This Row],[Cost Center Name]]&amp;Table1[[#This Row],[Job Name]]&amp;" "&amp;"-"&amp;" "&amp;Table1[[#This Row],[Job Code]]</f>
        <v>IS DS Domain ArchitectsDesign.Architect - 100219</v>
      </c>
      <c r="C179" s="392" t="s">
        <v>354</v>
      </c>
      <c r="D179" s="392" t="s">
        <v>185</v>
      </c>
      <c r="E179" s="392" t="s">
        <v>453</v>
      </c>
      <c r="F179" s="81" t="s">
        <v>483</v>
      </c>
      <c r="G179" s="81">
        <v>100219</v>
      </c>
      <c r="H179" s="392" t="s">
        <v>486</v>
      </c>
      <c r="I179" s="392" t="s">
        <v>358</v>
      </c>
      <c r="J179" s="81">
        <v>215.76</v>
      </c>
    </row>
    <row r="180" spans="2:10">
      <c r="B180" s="392" t="str">
        <f>Table1[[#This Row],[Cost Center Name]]&amp;Table1[[#This Row],[Job Name]]&amp;" "&amp;"-"&amp;" "&amp;Table1[[#This Row],[Job Code]]</f>
        <v>IS DS Domain ArchitectsAutomation.Engineer - 100261</v>
      </c>
      <c r="C180" s="392" t="s">
        <v>354</v>
      </c>
      <c r="D180" s="392" t="s">
        <v>185</v>
      </c>
      <c r="E180" s="392" t="s">
        <v>453</v>
      </c>
      <c r="F180" s="81" t="s">
        <v>483</v>
      </c>
      <c r="G180" s="81">
        <v>100261</v>
      </c>
      <c r="H180" s="392" t="s">
        <v>462</v>
      </c>
      <c r="I180" s="392" t="s">
        <v>358</v>
      </c>
      <c r="J180" s="81">
        <v>171.12</v>
      </c>
    </row>
    <row r="181" spans="2:10">
      <c r="B181" s="392" t="str">
        <f>Table1[[#This Row],[Cost Center Name]]&amp;Table1[[#This Row],[Job Name]]&amp;" "&amp;"-"&amp;" "&amp;Table1[[#This Row],[Job Code]]</f>
        <v>IS DS Domain ArchitectsOptical.Architect - 100282</v>
      </c>
      <c r="C181" s="392" t="s">
        <v>354</v>
      </c>
      <c r="D181" s="392" t="s">
        <v>185</v>
      </c>
      <c r="E181" s="392" t="s">
        <v>453</v>
      </c>
      <c r="F181" s="81" t="s">
        <v>483</v>
      </c>
      <c r="G181" s="81">
        <v>100282</v>
      </c>
      <c r="H181" s="392" t="s">
        <v>472</v>
      </c>
      <c r="I181" s="392" t="s">
        <v>358</v>
      </c>
      <c r="J181" s="81">
        <v>195.92</v>
      </c>
    </row>
    <row r="182" spans="2:10">
      <c r="B182" s="392" t="str">
        <f>Table1[[#This Row],[Cost Center Name]]&amp;Table1[[#This Row],[Job Name]]&amp;" "&amp;"-"&amp;" "&amp;Table1[[#This Row],[Job Code]]</f>
        <v>IS DS EngineeringData Center.Engineer - 100081</v>
      </c>
      <c r="C182" s="392" t="s">
        <v>354</v>
      </c>
      <c r="D182" s="392" t="s">
        <v>185</v>
      </c>
      <c r="E182" s="392" t="s">
        <v>453</v>
      </c>
      <c r="F182" s="81" t="s">
        <v>487</v>
      </c>
      <c r="G182" s="81">
        <v>100081</v>
      </c>
      <c r="H182" s="392" t="s">
        <v>488</v>
      </c>
      <c r="I182" s="392" t="s">
        <v>358</v>
      </c>
      <c r="J182" s="81">
        <v>132</v>
      </c>
    </row>
    <row r="183" spans="2:10">
      <c r="B183" s="392" t="str">
        <f>Table1[[#This Row],[Cost Center Name]]&amp;Table1[[#This Row],[Job Name]]&amp;" "&amp;"-"&amp;" "&amp;Table1[[#This Row],[Job Code]]</f>
        <v>IS DS EngineeringData Center.Sr Engineer - 100082</v>
      </c>
      <c r="C183" s="392" t="s">
        <v>354</v>
      </c>
      <c r="D183" s="392" t="s">
        <v>185</v>
      </c>
      <c r="E183" s="392" t="s">
        <v>453</v>
      </c>
      <c r="F183" s="81" t="s">
        <v>487</v>
      </c>
      <c r="G183" s="81">
        <v>100082</v>
      </c>
      <c r="H183" s="392" t="s">
        <v>474</v>
      </c>
      <c r="I183" s="392" t="s">
        <v>358</v>
      </c>
      <c r="J183" s="81">
        <v>182.4</v>
      </c>
    </row>
    <row r="184" spans="2:10">
      <c r="B184" s="392" t="str">
        <f>Table1[[#This Row],[Cost Center Name]]&amp;Table1[[#This Row],[Job Name]]&amp;" "&amp;"-"&amp;" "&amp;Table1[[#This Row],[Job Code]]</f>
        <v>IS DS EngineeringEUC.Sr Engineer - 100110</v>
      </c>
      <c r="C184" s="392" t="s">
        <v>354</v>
      </c>
      <c r="D184" s="392" t="s">
        <v>185</v>
      </c>
      <c r="E184" s="392" t="s">
        <v>453</v>
      </c>
      <c r="F184" s="81" t="s">
        <v>487</v>
      </c>
      <c r="G184" s="81">
        <v>100110</v>
      </c>
      <c r="H184" s="392" t="s">
        <v>475</v>
      </c>
      <c r="I184" s="392" t="s">
        <v>358</v>
      </c>
      <c r="J184" s="81">
        <v>160.80000000000001</v>
      </c>
    </row>
    <row r="185" spans="2:10">
      <c r="B185" s="392" t="str">
        <f>Table1[[#This Row],[Cost Center Name]]&amp;Table1[[#This Row],[Job Name]]&amp;" "&amp;"-"&amp;" "&amp;Table1[[#This Row],[Job Code]]</f>
        <v>IS DS EngineeringR&amp;S.Engineer - 100152</v>
      </c>
      <c r="C185" s="392" t="s">
        <v>354</v>
      </c>
      <c r="D185" s="392" t="s">
        <v>185</v>
      </c>
      <c r="E185" s="392" t="s">
        <v>453</v>
      </c>
      <c r="F185" s="81" t="s">
        <v>487</v>
      </c>
      <c r="G185" s="81">
        <v>100152</v>
      </c>
      <c r="H185" s="392" t="s">
        <v>476</v>
      </c>
      <c r="I185" s="392" t="s">
        <v>358</v>
      </c>
      <c r="J185" s="81">
        <v>139.19999999999999</v>
      </c>
    </row>
    <row r="186" spans="2:10">
      <c r="B186" s="392" t="str">
        <f>Table1[[#This Row],[Cost Center Name]]&amp;Table1[[#This Row],[Job Name]]&amp;" "&amp;"-"&amp;" "&amp;Table1[[#This Row],[Job Code]]</f>
        <v>IS DS EngineeringR&amp;S.Sr Engineer - 100153</v>
      </c>
      <c r="C186" s="392" t="s">
        <v>354</v>
      </c>
      <c r="D186" s="392" t="s">
        <v>185</v>
      </c>
      <c r="E186" s="392" t="s">
        <v>453</v>
      </c>
      <c r="F186" s="81" t="s">
        <v>487</v>
      </c>
      <c r="G186" s="81">
        <v>100153</v>
      </c>
      <c r="H186" s="392" t="s">
        <v>461</v>
      </c>
      <c r="I186" s="392" t="s">
        <v>358</v>
      </c>
      <c r="J186" s="81">
        <v>192</v>
      </c>
    </row>
    <row r="187" spans="2:10">
      <c r="B187" s="392" t="str">
        <f>Table1[[#This Row],[Cost Center Name]]&amp;Table1[[#This Row],[Job Name]]&amp;" "&amp;"-"&amp;" "&amp;Table1[[#This Row],[Job Code]]</f>
        <v>IS DS EngineeringSDN.Architect - 100154</v>
      </c>
      <c r="C187" s="392" t="s">
        <v>354</v>
      </c>
      <c r="D187" s="392" t="s">
        <v>185</v>
      </c>
      <c r="E187" s="392" t="s">
        <v>453</v>
      </c>
      <c r="F187" s="81" t="s">
        <v>487</v>
      </c>
      <c r="G187" s="81">
        <v>100154</v>
      </c>
      <c r="H187" s="392" t="s">
        <v>489</v>
      </c>
      <c r="I187" s="392" t="s">
        <v>358</v>
      </c>
      <c r="J187" s="81">
        <v>194.4</v>
      </c>
    </row>
    <row r="188" spans="2:10">
      <c r="B188" s="392" t="str">
        <f>Table1[[#This Row],[Cost Center Name]]&amp;Table1[[#This Row],[Job Name]]&amp;" "&amp;"-"&amp;" "&amp;Table1[[#This Row],[Job Code]]</f>
        <v>IS DS EngineeringSecurity.Engineer - 100157</v>
      </c>
      <c r="C188" s="392" t="s">
        <v>354</v>
      </c>
      <c r="D188" s="392" t="s">
        <v>185</v>
      </c>
      <c r="E188" s="392" t="s">
        <v>453</v>
      </c>
      <c r="F188" s="81" t="s">
        <v>487</v>
      </c>
      <c r="G188" s="81">
        <v>100157</v>
      </c>
      <c r="H188" s="392" t="s">
        <v>490</v>
      </c>
      <c r="I188" s="392" t="s">
        <v>358</v>
      </c>
      <c r="J188" s="81">
        <v>132</v>
      </c>
    </row>
    <row r="189" spans="2:10">
      <c r="B189" s="392" t="str">
        <f>Table1[[#This Row],[Cost Center Name]]&amp;Table1[[#This Row],[Job Name]]&amp;" "&amp;"-"&amp;" "&amp;Table1[[#This Row],[Job Code]]</f>
        <v>IS DS EngineeringSecurity.Sr Engineer - 100160</v>
      </c>
      <c r="C189" s="392" t="s">
        <v>354</v>
      </c>
      <c r="D189" s="392" t="s">
        <v>185</v>
      </c>
      <c r="E189" s="392" t="s">
        <v>453</v>
      </c>
      <c r="F189" s="81" t="s">
        <v>487</v>
      </c>
      <c r="G189" s="81">
        <v>100160</v>
      </c>
      <c r="H189" s="392" t="s">
        <v>477</v>
      </c>
      <c r="I189" s="392" t="s">
        <v>358</v>
      </c>
      <c r="J189" s="81">
        <v>189.6</v>
      </c>
    </row>
    <row r="190" spans="2:10">
      <c r="B190" s="392" t="str">
        <f>Table1[[#This Row],[Cost Center Name]]&amp;Table1[[#This Row],[Job Name]]&amp;" "&amp;"-"&amp;" "&amp;Table1[[#This Row],[Job Code]]</f>
        <v>IS DS EngineeringVoice.Sr Engineer - 100178</v>
      </c>
      <c r="C190" s="392" t="s">
        <v>354</v>
      </c>
      <c r="D190" s="392" t="s">
        <v>185</v>
      </c>
      <c r="E190" s="392" t="s">
        <v>453</v>
      </c>
      <c r="F190" s="81" t="s">
        <v>487</v>
      </c>
      <c r="G190" s="81">
        <v>100178</v>
      </c>
      <c r="H190" s="392" t="s">
        <v>479</v>
      </c>
      <c r="I190" s="392" t="s">
        <v>358</v>
      </c>
      <c r="J190" s="81">
        <v>184.8</v>
      </c>
    </row>
    <row r="191" spans="2:10">
      <c r="B191" s="392" t="str">
        <f>Table1[[#This Row],[Cost Center Name]]&amp;Table1[[#This Row],[Job Name]]&amp;" "&amp;"-"&amp;" "&amp;Table1[[#This Row],[Job Code]]</f>
        <v>IS DS EngineeringVoice.Sr Engineer UCCE - 100179</v>
      </c>
      <c r="C191" s="392" t="s">
        <v>354</v>
      </c>
      <c r="D191" s="392" t="s">
        <v>185</v>
      </c>
      <c r="E191" s="392" t="s">
        <v>453</v>
      </c>
      <c r="F191" s="81" t="s">
        <v>487</v>
      </c>
      <c r="G191" s="81">
        <v>100179</v>
      </c>
      <c r="H191" s="392" t="s">
        <v>480</v>
      </c>
      <c r="I191" s="392" t="s">
        <v>358</v>
      </c>
      <c r="J191" s="81">
        <v>213.6</v>
      </c>
    </row>
    <row r="192" spans="2:10">
      <c r="B192" s="392" t="str">
        <f>Table1[[#This Row],[Cost Center Name]]&amp;Table1[[#This Row],[Job Name]]&amp;" "&amp;"-"&amp;" "&amp;Table1[[#This Row],[Job Code]]</f>
        <v>IS DS EngineeringWireless.Sr Engineer - 100182</v>
      </c>
      <c r="C192" s="392" t="s">
        <v>354</v>
      </c>
      <c r="D192" s="392" t="s">
        <v>185</v>
      </c>
      <c r="E192" s="392" t="s">
        <v>453</v>
      </c>
      <c r="F192" s="81" t="s">
        <v>487</v>
      </c>
      <c r="G192" s="81">
        <v>100182</v>
      </c>
      <c r="H192" s="392" t="s">
        <v>481</v>
      </c>
      <c r="I192" s="392" t="s">
        <v>358</v>
      </c>
      <c r="J192" s="81">
        <v>170.4</v>
      </c>
    </row>
    <row r="193" spans="2:10">
      <c r="B193" s="392" t="str">
        <f>Table1[[#This Row],[Cost Center Name]]&amp;Table1[[#This Row],[Job Name]]&amp;" "&amp;"-"&amp;" "&amp;Table1[[#This Row],[Job Code]]</f>
        <v>IS DS EngineeringArchitect - PS7128</v>
      </c>
      <c r="C193" s="392" t="s">
        <v>354</v>
      </c>
      <c r="D193" s="392" t="s">
        <v>185</v>
      </c>
      <c r="E193" s="392" t="s">
        <v>453</v>
      </c>
      <c r="F193" s="81" t="s">
        <v>487</v>
      </c>
      <c r="G193" s="81" t="s">
        <v>491</v>
      </c>
      <c r="H193" s="392" t="s">
        <v>492</v>
      </c>
      <c r="I193" s="392" t="s">
        <v>358</v>
      </c>
      <c r="J193" s="81">
        <v>207.6</v>
      </c>
    </row>
    <row r="194" spans="2:10">
      <c r="B194" s="392" t="str">
        <f>Table1[[#This Row],[Cost Center Name]]&amp;Table1[[#This Row],[Job Name]]&amp;" "&amp;"-"&amp;" "&amp;Table1[[#This Row],[Job Code]]</f>
        <v>IS DS Fed HI/APAC EngConsulting.Systems Engineer - 100071</v>
      </c>
      <c r="C194" s="392" t="s">
        <v>354</v>
      </c>
      <c r="D194" s="392" t="s">
        <v>185</v>
      </c>
      <c r="E194" s="392" t="s">
        <v>453</v>
      </c>
      <c r="F194" s="81" t="s">
        <v>493</v>
      </c>
      <c r="G194" s="81">
        <v>100071</v>
      </c>
      <c r="H194" s="392" t="s">
        <v>494</v>
      </c>
      <c r="I194" s="392" t="s">
        <v>358</v>
      </c>
      <c r="J194" s="81">
        <v>205.32</v>
      </c>
    </row>
    <row r="195" spans="2:10">
      <c r="B195" s="392" t="str">
        <f>Table1[[#This Row],[Cost Center Name]]&amp;Table1[[#This Row],[Job Name]]&amp;" "&amp;"-"&amp;" "&amp;Table1[[#This Row],[Job Code]]</f>
        <v>IS DS Fed HI/APAC EngWireless.Engineer - 100181</v>
      </c>
      <c r="C195" s="392" t="s">
        <v>354</v>
      </c>
      <c r="D195" s="392" t="s">
        <v>185</v>
      </c>
      <c r="E195" s="392" t="s">
        <v>453</v>
      </c>
      <c r="F195" s="81" t="s">
        <v>493</v>
      </c>
      <c r="G195" s="81">
        <v>100181</v>
      </c>
      <c r="H195" s="392" t="s">
        <v>495</v>
      </c>
      <c r="I195" s="392" t="s">
        <v>358</v>
      </c>
      <c r="J195" s="81">
        <v>158.12</v>
      </c>
    </row>
    <row r="196" spans="2:10">
      <c r="B196" s="392" t="str">
        <f>Table1[[#This Row],[Cost Center Name]]&amp;Table1[[#This Row],[Job Name]]&amp;" "&amp;"-"&amp;" "&amp;Table1[[#This Row],[Job Code]]</f>
        <v>IS DS Fed HI/APAC EngServiceNow.Developer - 100306</v>
      </c>
      <c r="C196" s="392" t="s">
        <v>354</v>
      </c>
      <c r="D196" s="392" t="s">
        <v>185</v>
      </c>
      <c r="E196" s="392" t="s">
        <v>453</v>
      </c>
      <c r="F196" s="81" t="s">
        <v>493</v>
      </c>
      <c r="G196" s="81">
        <v>100306</v>
      </c>
      <c r="H196" s="392" t="s">
        <v>496</v>
      </c>
      <c r="I196" s="392" t="s">
        <v>358</v>
      </c>
      <c r="J196" s="81">
        <v>110.92</v>
      </c>
    </row>
    <row r="197" spans="2:10">
      <c r="B197" s="392" t="str">
        <f>Table1[[#This Row],[Cost Center Name]]&amp;Table1[[#This Row],[Job Name]]&amp;" "&amp;"-"&amp;" "&amp;Table1[[#This Row],[Job Code]]</f>
        <v>IS DS Fed HI/APAC PMOProject Management.PM - 100139</v>
      </c>
      <c r="C197" s="392" t="s">
        <v>354</v>
      </c>
      <c r="D197" s="392" t="s">
        <v>185</v>
      </c>
      <c r="E197" s="392" t="s">
        <v>453</v>
      </c>
      <c r="F197" s="81" t="s">
        <v>497</v>
      </c>
      <c r="G197" s="81">
        <v>100139</v>
      </c>
      <c r="H197" s="392" t="s">
        <v>313</v>
      </c>
      <c r="I197" s="392" t="s">
        <v>358</v>
      </c>
      <c r="J197" s="81">
        <v>131.1</v>
      </c>
    </row>
    <row r="198" spans="2:10">
      <c r="B198" s="392" t="str">
        <f>Table1[[#This Row],[Cost Center Name]]&amp;Table1[[#This Row],[Job Name]]&amp;" "&amp;"-"&amp;" "&amp;Table1[[#This Row],[Job Code]]</f>
        <v>IS DS Fed HI/APAC PMOProject Management.Proj Coor - 100140</v>
      </c>
      <c r="C198" s="392" t="s">
        <v>354</v>
      </c>
      <c r="D198" s="392" t="s">
        <v>185</v>
      </c>
      <c r="E198" s="392" t="s">
        <v>453</v>
      </c>
      <c r="F198" s="81" t="s">
        <v>497</v>
      </c>
      <c r="G198" s="81">
        <v>100140</v>
      </c>
      <c r="H198" s="392" t="s">
        <v>311</v>
      </c>
      <c r="I198" s="392" t="s">
        <v>358</v>
      </c>
      <c r="J198" s="81">
        <v>91.2</v>
      </c>
    </row>
    <row r="199" spans="2:10">
      <c r="B199" s="392" t="str">
        <f>Table1[[#This Row],[Cost Center Name]]&amp;Table1[[#This Row],[Job Name]]&amp;" "&amp;"-"&amp;" "&amp;Table1[[#This Row],[Job Code]]</f>
        <v>IS DS Federal DedicatedR&amp;S.Engineer - 100152</v>
      </c>
      <c r="C199" s="392" t="s">
        <v>354</v>
      </c>
      <c r="D199" s="392" t="s">
        <v>185</v>
      </c>
      <c r="E199" s="392" t="s">
        <v>453</v>
      </c>
      <c r="F199" s="81" t="s">
        <v>498</v>
      </c>
      <c r="G199" s="81">
        <v>100152</v>
      </c>
      <c r="H199" s="392" t="s">
        <v>476</v>
      </c>
      <c r="I199" s="392" t="s">
        <v>358</v>
      </c>
      <c r="J199" s="81">
        <v>107.3</v>
      </c>
    </row>
    <row r="200" spans="2:10">
      <c r="B200" s="392" t="str">
        <f>Table1[[#This Row],[Cost Center Name]]&amp;Table1[[#This Row],[Job Name]]&amp;" "&amp;"-"&amp;" "&amp;Table1[[#This Row],[Job Code]]</f>
        <v>IS DS Federal DedicatedR&amp;S.Sr Engineer - 100153</v>
      </c>
      <c r="C200" s="392" t="s">
        <v>354</v>
      </c>
      <c r="D200" s="392" t="s">
        <v>185</v>
      </c>
      <c r="E200" s="392" t="s">
        <v>453</v>
      </c>
      <c r="F200" s="81" t="s">
        <v>498</v>
      </c>
      <c r="G200" s="81">
        <v>100153</v>
      </c>
      <c r="H200" s="392" t="s">
        <v>461</v>
      </c>
      <c r="I200" s="392" t="s">
        <v>358</v>
      </c>
      <c r="J200" s="81">
        <v>148</v>
      </c>
    </row>
    <row r="201" spans="2:10">
      <c r="B201" s="392" t="str">
        <f>Table1[[#This Row],[Cost Center Name]]&amp;Table1[[#This Row],[Job Name]]&amp;" "&amp;"-"&amp;" "&amp;Table1[[#This Row],[Job Code]]</f>
        <v>IS DS Federal DedicatedSecurity.Engineer - 100157</v>
      </c>
      <c r="C201" s="392" t="s">
        <v>354</v>
      </c>
      <c r="D201" s="392" t="s">
        <v>185</v>
      </c>
      <c r="E201" s="392" t="s">
        <v>453</v>
      </c>
      <c r="F201" s="81" t="s">
        <v>498</v>
      </c>
      <c r="G201" s="81">
        <v>100157</v>
      </c>
      <c r="H201" s="392" t="s">
        <v>490</v>
      </c>
      <c r="I201" s="392" t="s">
        <v>358</v>
      </c>
      <c r="J201" s="81">
        <v>101.75</v>
      </c>
    </row>
    <row r="202" spans="2:10">
      <c r="B202" s="392" t="str">
        <f>Table1[[#This Row],[Cost Center Name]]&amp;Table1[[#This Row],[Job Name]]&amp;" "&amp;"-"&amp;" "&amp;Table1[[#This Row],[Job Code]]</f>
        <v>IS DS Federal DedicatedSupport.Engineer - 100168</v>
      </c>
      <c r="C202" s="392" t="s">
        <v>354</v>
      </c>
      <c r="D202" s="392" t="s">
        <v>185</v>
      </c>
      <c r="E202" s="392" t="s">
        <v>453</v>
      </c>
      <c r="F202" s="81" t="s">
        <v>498</v>
      </c>
      <c r="G202" s="81">
        <v>100168</v>
      </c>
      <c r="H202" s="392" t="s">
        <v>499</v>
      </c>
      <c r="I202" s="392" t="s">
        <v>358</v>
      </c>
      <c r="J202" s="81">
        <v>77.7</v>
      </c>
    </row>
    <row r="203" spans="2:10">
      <c r="B203" s="392" t="str">
        <f>Table1[[#This Row],[Cost Center Name]]&amp;Table1[[#This Row],[Job Name]]&amp;" "&amp;"-"&amp;" "&amp;Table1[[#This Row],[Job Code]]</f>
        <v>IS DS Federal DedicatedVoice.Technician - 100180</v>
      </c>
      <c r="C203" s="392" t="s">
        <v>354</v>
      </c>
      <c r="D203" s="392" t="s">
        <v>185</v>
      </c>
      <c r="E203" s="392" t="s">
        <v>453</v>
      </c>
      <c r="F203" s="81" t="s">
        <v>498</v>
      </c>
      <c r="G203" s="81">
        <v>100180</v>
      </c>
      <c r="H203" s="392" t="s">
        <v>500</v>
      </c>
      <c r="I203" s="392" t="s">
        <v>358</v>
      </c>
      <c r="J203" s="81">
        <v>90.65</v>
      </c>
    </row>
    <row r="204" spans="2:10">
      <c r="B204" s="392" t="str">
        <f>Table1[[#This Row],[Cost Center Name]]&amp;Table1[[#This Row],[Job Name]]&amp;" "&amp;"-"&amp;" "&amp;Table1[[#This Row],[Job Code]]</f>
        <v>IS DS Federal DedicatedServiceNow.Developer - 100306</v>
      </c>
      <c r="C204" s="392" t="s">
        <v>354</v>
      </c>
      <c r="D204" s="392" t="s">
        <v>185</v>
      </c>
      <c r="E204" s="392" t="s">
        <v>453</v>
      </c>
      <c r="F204" s="81" t="s">
        <v>498</v>
      </c>
      <c r="G204" s="81">
        <v>100306</v>
      </c>
      <c r="H204" s="392" t="s">
        <v>496</v>
      </c>
      <c r="I204" s="392" t="s">
        <v>358</v>
      </c>
      <c r="J204" s="81">
        <v>86.95</v>
      </c>
    </row>
    <row r="205" spans="2:10">
      <c r="B205" s="392" t="str">
        <f>Table1[[#This Row],[Cost Center Name]]&amp;Table1[[#This Row],[Job Name]]&amp;" "&amp;"-"&amp;" "&amp;Table1[[#This Row],[Job Code]]</f>
        <v>IS DS Kaiser Engr DedicatedR&amp;S.Engineer - 100152</v>
      </c>
      <c r="C205" s="392" t="s">
        <v>354</v>
      </c>
      <c r="D205" s="392" t="s">
        <v>185</v>
      </c>
      <c r="E205" s="392" t="s">
        <v>453</v>
      </c>
      <c r="F205" s="81" t="s">
        <v>501</v>
      </c>
      <c r="G205" s="81">
        <v>100152</v>
      </c>
      <c r="H205" s="392" t="s">
        <v>476</v>
      </c>
      <c r="I205" s="392" t="s">
        <v>358</v>
      </c>
      <c r="J205" s="81">
        <v>103.24</v>
      </c>
    </row>
    <row r="206" spans="2:10">
      <c r="B206" s="392" t="str">
        <f>Table1[[#This Row],[Cost Center Name]]&amp;Table1[[#This Row],[Job Name]]&amp;" "&amp;"-"&amp;" "&amp;Table1[[#This Row],[Job Code]]</f>
        <v>IS DS Kaiser Engr DedicatedR&amp;S.Sr Engineer - 100153</v>
      </c>
      <c r="C206" s="392" t="s">
        <v>354</v>
      </c>
      <c r="D206" s="392" t="s">
        <v>185</v>
      </c>
      <c r="E206" s="392" t="s">
        <v>453</v>
      </c>
      <c r="F206" s="81" t="s">
        <v>501</v>
      </c>
      <c r="G206" s="81">
        <v>100153</v>
      </c>
      <c r="H206" s="392" t="s">
        <v>461</v>
      </c>
      <c r="I206" s="392" t="s">
        <v>358</v>
      </c>
      <c r="J206" s="81">
        <v>142.4</v>
      </c>
    </row>
    <row r="207" spans="2:10">
      <c r="B207" s="392" t="str">
        <f>Table1[[#This Row],[Cost Center Name]]&amp;Table1[[#This Row],[Job Name]]&amp;" "&amp;"-"&amp;" "&amp;Table1[[#This Row],[Job Code]]</f>
        <v>IS DS Kaiser Engr DedicatedVoice.Sr Engineer - 100178</v>
      </c>
      <c r="C207" s="392" t="s">
        <v>354</v>
      </c>
      <c r="D207" s="392" t="s">
        <v>185</v>
      </c>
      <c r="E207" s="392" t="s">
        <v>453</v>
      </c>
      <c r="F207" s="81" t="s">
        <v>501</v>
      </c>
      <c r="G207" s="81">
        <v>100178</v>
      </c>
      <c r="H207" s="392" t="s">
        <v>479</v>
      </c>
      <c r="I207" s="392" t="s">
        <v>358</v>
      </c>
      <c r="J207" s="81">
        <v>137.06</v>
      </c>
    </row>
    <row r="208" spans="2:10">
      <c r="B208" s="392" t="str">
        <f>Table1[[#This Row],[Cost Center Name]]&amp;Table1[[#This Row],[Job Name]]&amp;" "&amp;"-"&amp;" "&amp;Table1[[#This Row],[Job Code]]</f>
        <v>IS DS Kaiser PMO DedicatedProject Management.PgM - 100138</v>
      </c>
      <c r="C208" s="392" t="s">
        <v>354</v>
      </c>
      <c r="D208" s="392" t="s">
        <v>185</v>
      </c>
      <c r="E208" s="392" t="s">
        <v>453</v>
      </c>
      <c r="F208" s="81" t="s">
        <v>502</v>
      </c>
      <c r="G208" s="81">
        <v>100138</v>
      </c>
      <c r="H208" s="392" t="s">
        <v>465</v>
      </c>
      <c r="I208" s="392" t="s">
        <v>358</v>
      </c>
      <c r="J208" s="81">
        <v>133.5</v>
      </c>
    </row>
    <row r="209" spans="2:10">
      <c r="B209" s="392" t="str">
        <f>Table1[[#This Row],[Cost Center Name]]&amp;Table1[[#This Row],[Job Name]]&amp;" "&amp;"-"&amp;" "&amp;Table1[[#This Row],[Job Code]]</f>
        <v>IS DS Kaiser PMO DedicatedProject Management.PM - 100139</v>
      </c>
      <c r="C209" s="392" t="s">
        <v>354</v>
      </c>
      <c r="D209" s="392" t="s">
        <v>185</v>
      </c>
      <c r="E209" s="392" t="s">
        <v>453</v>
      </c>
      <c r="F209" s="81" t="s">
        <v>502</v>
      </c>
      <c r="G209" s="81">
        <v>100139</v>
      </c>
      <c r="H209" s="392" t="s">
        <v>313</v>
      </c>
      <c r="I209" s="392" t="s">
        <v>358</v>
      </c>
      <c r="J209" s="81">
        <v>81.88</v>
      </c>
    </row>
    <row r="210" spans="2:10">
      <c r="B210" s="392" t="str">
        <f>Table1[[#This Row],[Cost Center Name]]&amp;Table1[[#This Row],[Job Name]]&amp;" "&amp;"-"&amp;" "&amp;Table1[[#This Row],[Job Code]]</f>
        <v>IS DS Kaiser PMO DedicatedProject Management.Proj Coor - 100140</v>
      </c>
      <c r="C210" s="392" t="s">
        <v>354</v>
      </c>
      <c r="D210" s="392" t="s">
        <v>185</v>
      </c>
      <c r="E210" s="392" t="s">
        <v>453</v>
      </c>
      <c r="F210" s="81" t="s">
        <v>502</v>
      </c>
      <c r="G210" s="81">
        <v>100140</v>
      </c>
      <c r="H210" s="392" t="s">
        <v>311</v>
      </c>
      <c r="I210" s="392" t="s">
        <v>358</v>
      </c>
      <c r="J210" s="81">
        <v>56.96</v>
      </c>
    </row>
    <row r="211" spans="2:10">
      <c r="B211" s="392" t="str">
        <f>Table1[[#This Row],[Cost Center Name]]&amp;Table1[[#This Row],[Job Name]]&amp;" "&amp;"-"&amp;" "&amp;Table1[[#This Row],[Job Code]]</f>
        <v>IS DS Kaiser PMO DedicatedProject Management.Sr PM - 100142</v>
      </c>
      <c r="C211" s="392" t="s">
        <v>354</v>
      </c>
      <c r="D211" s="392" t="s">
        <v>185</v>
      </c>
      <c r="E211" s="392" t="s">
        <v>453</v>
      </c>
      <c r="F211" s="81" t="s">
        <v>502</v>
      </c>
      <c r="G211" s="81">
        <v>100142</v>
      </c>
      <c r="H211" s="392" t="s">
        <v>305</v>
      </c>
      <c r="I211" s="392" t="s">
        <v>358</v>
      </c>
      <c r="J211" s="81">
        <v>115.7</v>
      </c>
    </row>
    <row r="212" spans="2:10">
      <c r="B212" s="392" t="str">
        <f>Table1[[#This Row],[Cost Center Name]]&amp;Table1[[#This Row],[Job Name]]&amp;" "&amp;"-"&amp;" "&amp;Table1[[#This Row],[Job Code]]</f>
        <v>IS DS Kaiser Prgm EngR&amp;S.Engineer - 100152</v>
      </c>
      <c r="C212" s="392" t="s">
        <v>354</v>
      </c>
      <c r="D212" s="392" t="s">
        <v>185</v>
      </c>
      <c r="E212" s="392" t="s">
        <v>453</v>
      </c>
      <c r="F212" s="81" t="s">
        <v>503</v>
      </c>
      <c r="G212" s="81">
        <v>100152</v>
      </c>
      <c r="H212" s="392" t="s">
        <v>476</v>
      </c>
      <c r="I212" s="392" t="s">
        <v>358</v>
      </c>
      <c r="J212" s="81">
        <v>133.97999999999999</v>
      </c>
    </row>
    <row r="213" spans="2:10">
      <c r="B213" s="392" t="str">
        <f>Table1[[#This Row],[Cost Center Name]]&amp;Table1[[#This Row],[Job Name]]&amp;" "&amp;"-"&amp;" "&amp;Table1[[#This Row],[Job Code]]</f>
        <v>IS DS Kaiser Prgm EngVoice.Sr Engineer - 100178</v>
      </c>
      <c r="C213" s="392" t="s">
        <v>354</v>
      </c>
      <c r="D213" s="392" t="s">
        <v>185</v>
      </c>
      <c r="E213" s="392" t="s">
        <v>453</v>
      </c>
      <c r="F213" s="81" t="s">
        <v>503</v>
      </c>
      <c r="G213" s="81">
        <v>100178</v>
      </c>
      <c r="H213" s="392" t="s">
        <v>479</v>
      </c>
      <c r="I213" s="392" t="s">
        <v>358</v>
      </c>
      <c r="J213" s="81">
        <v>177.87</v>
      </c>
    </row>
    <row r="214" spans="2:10">
      <c r="B214" s="392" t="str">
        <f>Table1[[#This Row],[Cost Center Name]]&amp;Table1[[#This Row],[Job Name]]&amp;" "&amp;"-"&amp;" "&amp;Table1[[#This Row],[Job Code]]</f>
        <v>IS DS Kaiser Prgm PMOProject Management.PM - 100139</v>
      </c>
      <c r="C214" s="392" t="s">
        <v>354</v>
      </c>
      <c r="D214" s="392" t="s">
        <v>185</v>
      </c>
      <c r="E214" s="392" t="s">
        <v>453</v>
      </c>
      <c r="F214" s="81" t="s">
        <v>504</v>
      </c>
      <c r="G214" s="81">
        <v>100139</v>
      </c>
      <c r="H214" s="392" t="s">
        <v>313</v>
      </c>
      <c r="I214" s="392" t="s">
        <v>358</v>
      </c>
      <c r="J214" s="81">
        <v>105.8</v>
      </c>
    </row>
    <row r="215" spans="2:10">
      <c r="B215" s="392" t="str">
        <f>Table1[[#This Row],[Cost Center Name]]&amp;Table1[[#This Row],[Job Name]]&amp;" "&amp;"-"&amp;" "&amp;Table1[[#This Row],[Job Code]]</f>
        <v>IS DS Learning SolutionsLearning.Specialist - 100133</v>
      </c>
      <c r="C215" s="392" t="s">
        <v>354</v>
      </c>
      <c r="D215" s="392" t="s">
        <v>185</v>
      </c>
      <c r="E215" s="392" t="s">
        <v>453</v>
      </c>
      <c r="F215" s="81" t="s">
        <v>505</v>
      </c>
      <c r="G215" s="81">
        <v>100133</v>
      </c>
      <c r="H215" s="392" t="s">
        <v>506</v>
      </c>
      <c r="I215" s="392" t="s">
        <v>358</v>
      </c>
      <c r="J215" s="81">
        <v>88.2</v>
      </c>
    </row>
    <row r="216" spans="2:10">
      <c r="B216" s="392" t="str">
        <f>Table1[[#This Row],[Cost Center Name]]&amp;Table1[[#This Row],[Job Name]]&amp;" "&amp;"-"&amp;" "&amp;Table1[[#This Row],[Job Code]]</f>
        <v>IS DS Learning SolutionsLearning.Sr Specialist - 100134</v>
      </c>
      <c r="C216" s="392" t="s">
        <v>354</v>
      </c>
      <c r="D216" s="392" t="s">
        <v>185</v>
      </c>
      <c r="E216" s="392" t="s">
        <v>453</v>
      </c>
      <c r="F216" s="81" t="s">
        <v>505</v>
      </c>
      <c r="G216" s="81">
        <v>100134</v>
      </c>
      <c r="H216" s="392" t="s">
        <v>507</v>
      </c>
      <c r="I216" s="392" t="s">
        <v>358</v>
      </c>
      <c r="J216" s="81">
        <v>166.6</v>
      </c>
    </row>
    <row r="217" spans="2:10">
      <c r="B217" s="392" t="str">
        <f>Table1[[#This Row],[Cost Center Name]]&amp;Table1[[#This Row],[Job Name]]&amp;" "&amp;"-"&amp;" "&amp;Table1[[#This Row],[Job Code]]</f>
        <v>IS DS PMOProject Management.PgM - 100138</v>
      </c>
      <c r="C217" s="392" t="s">
        <v>354</v>
      </c>
      <c r="D217" s="392" t="s">
        <v>185</v>
      </c>
      <c r="E217" s="392" t="s">
        <v>453</v>
      </c>
      <c r="F217" s="81" t="s">
        <v>508</v>
      </c>
      <c r="G217" s="81">
        <v>100138</v>
      </c>
      <c r="H217" s="392" t="s">
        <v>465</v>
      </c>
      <c r="I217" s="392" t="s">
        <v>358</v>
      </c>
      <c r="J217" s="81">
        <v>186</v>
      </c>
    </row>
    <row r="218" spans="2:10">
      <c r="B218" s="392" t="str">
        <f>Table1[[#This Row],[Cost Center Name]]&amp;Table1[[#This Row],[Job Name]]&amp;" "&amp;"-"&amp;" "&amp;Table1[[#This Row],[Job Code]]</f>
        <v>IS DS PMOProject Management.PM - 100139</v>
      </c>
      <c r="C218" s="392" t="s">
        <v>354</v>
      </c>
      <c r="D218" s="392" t="s">
        <v>185</v>
      </c>
      <c r="E218" s="392" t="s">
        <v>453</v>
      </c>
      <c r="F218" s="81" t="s">
        <v>508</v>
      </c>
      <c r="G218" s="81">
        <v>100139</v>
      </c>
      <c r="H218" s="392" t="s">
        <v>313</v>
      </c>
      <c r="I218" s="392" t="s">
        <v>358</v>
      </c>
      <c r="J218" s="81">
        <v>114.08</v>
      </c>
    </row>
    <row r="219" spans="2:10">
      <c r="B219" s="392" t="str">
        <f>Table1[[#This Row],[Cost Center Name]]&amp;Table1[[#This Row],[Job Name]]&amp;" "&amp;"-"&amp;" "&amp;Table1[[#This Row],[Job Code]]</f>
        <v>IS DS PMOProject Management.Proj Coor - 100140</v>
      </c>
      <c r="C219" s="392" t="s">
        <v>354</v>
      </c>
      <c r="D219" s="392" t="s">
        <v>185</v>
      </c>
      <c r="E219" s="392" t="s">
        <v>453</v>
      </c>
      <c r="F219" s="81" t="s">
        <v>508</v>
      </c>
      <c r="G219" s="81">
        <v>100140</v>
      </c>
      <c r="H219" s="392" t="s">
        <v>311</v>
      </c>
      <c r="I219" s="392" t="s">
        <v>358</v>
      </c>
      <c r="J219" s="81">
        <v>79.36</v>
      </c>
    </row>
    <row r="220" spans="2:10">
      <c r="B220" s="392" t="str">
        <f>Table1[[#This Row],[Cost Center Name]]&amp;Table1[[#This Row],[Job Name]]&amp;" "&amp;"-"&amp;" "&amp;Table1[[#This Row],[Job Code]]</f>
        <v>IS DS PMOProject Management.Sr PM - 100142</v>
      </c>
      <c r="C220" s="392" t="s">
        <v>354</v>
      </c>
      <c r="D220" s="392" t="s">
        <v>185</v>
      </c>
      <c r="E220" s="392" t="s">
        <v>453</v>
      </c>
      <c r="F220" s="81" t="s">
        <v>508</v>
      </c>
      <c r="G220" s="81">
        <v>100142</v>
      </c>
      <c r="H220" s="392" t="s">
        <v>305</v>
      </c>
      <c r="I220" s="392" t="s">
        <v>358</v>
      </c>
      <c r="J220" s="81">
        <v>161.19999999999999</v>
      </c>
    </row>
    <row r="221" spans="2:10">
      <c r="B221" s="392" t="str">
        <f>Table1[[#This Row],[Cost Center Name]]&amp;Table1[[#This Row],[Job Name]]&amp;" "&amp;"-"&amp;" "&amp;Table1[[#This Row],[Job Code]]</f>
        <v>IS DS Principal ArchitectsPrincipal.Architect - 100305</v>
      </c>
      <c r="C221" s="392" t="s">
        <v>354</v>
      </c>
      <c r="D221" s="392" t="s">
        <v>185</v>
      </c>
      <c r="E221" s="392" t="s">
        <v>453</v>
      </c>
      <c r="F221" s="81" t="s">
        <v>509</v>
      </c>
      <c r="G221" s="81">
        <v>100305</v>
      </c>
      <c r="H221" s="392" t="s">
        <v>467</v>
      </c>
      <c r="I221" s="392" t="s">
        <v>358</v>
      </c>
      <c r="J221" s="81">
        <v>221.76</v>
      </c>
    </row>
    <row r="222" spans="2:10">
      <c r="B222" s="392" t="str">
        <f>Table1[[#This Row],[Cost Center Name]]&amp;Table1[[#This Row],[Job Name]]&amp;" "&amp;"-"&amp;" "&amp;Table1[[#This Row],[Job Code]]</f>
        <v>IS DS Proc &amp; Gam ProgramWireless.Sr Engineer - 100182</v>
      </c>
      <c r="C222" s="392" t="s">
        <v>354</v>
      </c>
      <c r="D222" s="392" t="s">
        <v>185</v>
      </c>
      <c r="E222" s="392" t="s">
        <v>453</v>
      </c>
      <c r="F222" s="81" t="s">
        <v>510</v>
      </c>
      <c r="G222" s="81">
        <v>100182</v>
      </c>
      <c r="H222" s="392" t="s">
        <v>481</v>
      </c>
      <c r="I222" s="392" t="s">
        <v>358</v>
      </c>
      <c r="J222" s="81">
        <v>131.35</v>
      </c>
    </row>
    <row r="223" spans="2:10">
      <c r="B223" s="392" t="str">
        <f>Table1[[#This Row],[Cost Center Name]]&amp;Table1[[#This Row],[Job Name]]&amp;" "&amp;"-"&amp;" "&amp;Table1[[#This Row],[Job Code]]</f>
        <v>IS DS SCE PrgmR&amp;S.Engineer - 100152</v>
      </c>
      <c r="C223" s="392" t="s">
        <v>354</v>
      </c>
      <c r="D223" s="392" t="s">
        <v>185</v>
      </c>
      <c r="E223" s="392" t="s">
        <v>453</v>
      </c>
      <c r="F223" s="81" t="s">
        <v>511</v>
      </c>
      <c r="G223" s="81">
        <v>100152</v>
      </c>
      <c r="H223" s="392" t="s">
        <v>476</v>
      </c>
      <c r="I223" s="392" t="s">
        <v>358</v>
      </c>
      <c r="J223" s="81">
        <v>107.3</v>
      </c>
    </row>
    <row r="224" spans="2:10">
      <c r="B224" s="392" t="str">
        <f>Table1[[#This Row],[Cost Center Name]]&amp;Table1[[#This Row],[Job Name]]&amp;" "&amp;"-"&amp;" "&amp;Table1[[#This Row],[Job Code]]</f>
        <v>IS DS Strategic Pgm MgmtProject Management.PgM - 100138</v>
      </c>
      <c r="C224" s="392" t="s">
        <v>354</v>
      </c>
      <c r="D224" s="392" t="s">
        <v>185</v>
      </c>
      <c r="E224" s="392" t="s">
        <v>453</v>
      </c>
      <c r="F224" s="81" t="s">
        <v>512</v>
      </c>
      <c r="G224" s="81">
        <v>100138</v>
      </c>
      <c r="H224" s="392" t="s">
        <v>465</v>
      </c>
      <c r="I224" s="392" t="s">
        <v>358</v>
      </c>
      <c r="J224" s="81">
        <v>143.25</v>
      </c>
    </row>
    <row r="225" spans="2:10">
      <c r="B225" s="392" t="str">
        <f>Table1[[#This Row],[Cost Center Name]]&amp;Table1[[#This Row],[Job Name]]&amp;" "&amp;"-"&amp;" "&amp;Table1[[#This Row],[Job Code]]</f>
        <v>IS DS Strategic Pgm MgmtProject Management.Sr PM - 100142</v>
      </c>
      <c r="C225" s="392" t="s">
        <v>354</v>
      </c>
      <c r="D225" s="392" t="s">
        <v>185</v>
      </c>
      <c r="E225" s="392" t="s">
        <v>453</v>
      </c>
      <c r="F225" s="81" t="s">
        <v>512</v>
      </c>
      <c r="G225" s="81">
        <v>100142</v>
      </c>
      <c r="H225" s="392" t="s">
        <v>305</v>
      </c>
      <c r="I225" s="392" t="s">
        <v>358</v>
      </c>
      <c r="J225" s="81">
        <v>124.15</v>
      </c>
    </row>
    <row r="226" spans="2:10">
      <c r="B226" s="392" t="str">
        <f>Table1[[#This Row],[Cost Center Name]]&amp;Table1[[#This Row],[Job Name]]&amp;" "&amp;"-"&amp;" "&amp;Table1[[#This Row],[Job Code]]</f>
        <v>IS DS Strategic Pgm MgmtProject Management.Program Director - 100238</v>
      </c>
      <c r="C226" s="392" t="s">
        <v>354</v>
      </c>
      <c r="D226" s="392" t="s">
        <v>185</v>
      </c>
      <c r="E226" s="392" t="s">
        <v>453</v>
      </c>
      <c r="F226" s="81" t="s">
        <v>512</v>
      </c>
      <c r="G226" s="81">
        <v>100238</v>
      </c>
      <c r="H226" s="392" t="s">
        <v>513</v>
      </c>
      <c r="I226" s="392" t="s">
        <v>358</v>
      </c>
      <c r="J226" s="81">
        <v>200.55</v>
      </c>
    </row>
    <row r="227" spans="2:10">
      <c r="B227" s="392" t="str">
        <f>Table1[[#This Row],[Cost Center Name]]&amp;Table1[[#This Row],[Job Name]]&amp;" "&amp;"-"&amp;" "&amp;Table1[[#This Row],[Job Code]]</f>
        <v>IS DS Strategic Pgm MgmtProject Management.SPgM - 100307</v>
      </c>
      <c r="C227" s="392" t="s">
        <v>354</v>
      </c>
      <c r="D227" s="392" t="s">
        <v>185</v>
      </c>
      <c r="E227" s="392" t="s">
        <v>453</v>
      </c>
      <c r="F227" s="81" t="s">
        <v>512</v>
      </c>
      <c r="G227" s="81">
        <v>100307</v>
      </c>
      <c r="H227" s="392" t="s">
        <v>514</v>
      </c>
      <c r="I227" s="392" t="s">
        <v>358</v>
      </c>
      <c r="J227" s="81">
        <v>154.71</v>
      </c>
    </row>
    <row r="228" spans="2:10">
      <c r="B228" s="392" t="str">
        <f>Table1[[#This Row],[Cost Center Name]]&amp;Table1[[#This Row],[Job Name]]&amp;" "&amp;"-"&amp;" "&amp;Table1[[#This Row],[Job Code]]</f>
        <v>IS DS Strategic Pgm MgmtProject Management.SPfD - 100308</v>
      </c>
      <c r="C228" s="392" t="s">
        <v>354</v>
      </c>
      <c r="D228" s="392" t="s">
        <v>185</v>
      </c>
      <c r="E228" s="392" t="s">
        <v>453</v>
      </c>
      <c r="F228" s="81" t="s">
        <v>512</v>
      </c>
      <c r="G228" s="81">
        <v>100308</v>
      </c>
      <c r="H228" s="392" t="s">
        <v>515</v>
      </c>
      <c r="I228" s="392" t="s">
        <v>358</v>
      </c>
      <c r="J228" s="81">
        <v>168.08</v>
      </c>
    </row>
    <row r="229" spans="2:10">
      <c r="B229" s="392" t="str">
        <f>Table1[[#This Row],[Cost Center Name]]&amp;Table1[[#This Row],[Job Name]]&amp;" "&amp;"-"&amp;" "&amp;Table1[[#This Row],[Job Code]]</f>
        <v>IS DS Strategic Pgm Mgmt OpsProgram.Analyst - 100039</v>
      </c>
      <c r="C229" s="392" t="s">
        <v>354</v>
      </c>
      <c r="D229" s="392" t="s">
        <v>185</v>
      </c>
      <c r="E229" s="392" t="s">
        <v>453</v>
      </c>
      <c r="F229" s="81" t="s">
        <v>516</v>
      </c>
      <c r="G229" s="81">
        <v>100039</v>
      </c>
      <c r="H229" s="392" t="s">
        <v>308</v>
      </c>
      <c r="I229" s="392" t="s">
        <v>358</v>
      </c>
      <c r="J229" s="81">
        <v>88.06</v>
      </c>
    </row>
    <row r="230" spans="2:10">
      <c r="B230" s="392" t="str">
        <f>Table1[[#This Row],[Cost Center Name]]&amp;Table1[[#This Row],[Job Name]]&amp;" "&amp;"-"&amp;" "&amp;Table1[[#This Row],[Job Code]]</f>
        <v>IS ES ConsultantsAdvisoryServices.AssociateConsultant - 100001</v>
      </c>
      <c r="C230" s="392" t="s">
        <v>354</v>
      </c>
      <c r="D230" s="392" t="s">
        <v>185</v>
      </c>
      <c r="E230" s="392" t="s">
        <v>453</v>
      </c>
      <c r="F230" s="81" t="s">
        <v>517</v>
      </c>
      <c r="G230" s="81">
        <v>100001</v>
      </c>
      <c r="H230" s="392" t="s">
        <v>518</v>
      </c>
      <c r="I230" s="392" t="s">
        <v>358</v>
      </c>
      <c r="J230" s="81">
        <v>114</v>
      </c>
    </row>
    <row r="231" spans="2:10">
      <c r="B231" s="392" t="str">
        <f>Table1[[#This Row],[Cost Center Name]]&amp;Table1[[#This Row],[Job Name]]&amp;" "&amp;"-"&amp;" "&amp;Table1[[#This Row],[Job Code]]</f>
        <v>IS ES ConsultantsAdvisoryServices.Chief Architect - 100002</v>
      </c>
      <c r="C231" s="392" t="s">
        <v>354</v>
      </c>
      <c r="D231" s="392" t="s">
        <v>185</v>
      </c>
      <c r="E231" s="392" t="s">
        <v>453</v>
      </c>
      <c r="F231" s="81" t="s">
        <v>517</v>
      </c>
      <c r="G231" s="81">
        <v>100002</v>
      </c>
      <c r="H231" s="392" t="s">
        <v>519</v>
      </c>
      <c r="I231" s="392" t="s">
        <v>358</v>
      </c>
      <c r="J231" s="81">
        <v>230.28</v>
      </c>
    </row>
    <row r="232" spans="2:10">
      <c r="B232" s="392" t="str">
        <f>Table1[[#This Row],[Cost Center Name]]&amp;Table1[[#This Row],[Job Name]]&amp;" "&amp;"-"&amp;" "&amp;Table1[[#This Row],[Job Code]]</f>
        <v>IS ES ConsultantsAdvisoryServices.Consultant - 100003</v>
      </c>
      <c r="C232" s="392" t="s">
        <v>354</v>
      </c>
      <c r="D232" s="392" t="s">
        <v>185</v>
      </c>
      <c r="E232" s="392" t="s">
        <v>453</v>
      </c>
      <c r="F232" s="81" t="s">
        <v>517</v>
      </c>
      <c r="G232" s="81">
        <v>100003</v>
      </c>
      <c r="H232" s="392" t="s">
        <v>520</v>
      </c>
      <c r="I232" s="392" t="s">
        <v>358</v>
      </c>
      <c r="J232" s="81">
        <v>166.44</v>
      </c>
    </row>
    <row r="233" spans="2:10">
      <c r="B233" s="392" t="str">
        <f>Table1[[#This Row],[Cost Center Name]]&amp;Table1[[#This Row],[Job Name]]&amp;" "&amp;"-"&amp;" "&amp;Table1[[#This Row],[Job Code]]</f>
        <v>IS ES ConsultantsAdvisoryServices.Enterprise Architect - 100004</v>
      </c>
      <c r="C233" s="392" t="s">
        <v>354</v>
      </c>
      <c r="D233" s="392" t="s">
        <v>185</v>
      </c>
      <c r="E233" s="392" t="s">
        <v>453</v>
      </c>
      <c r="F233" s="81" t="s">
        <v>517</v>
      </c>
      <c r="G233" s="81">
        <v>100004</v>
      </c>
      <c r="H233" s="392" t="s">
        <v>521</v>
      </c>
      <c r="I233" s="392" t="s">
        <v>358</v>
      </c>
      <c r="J233" s="81">
        <v>214.32</v>
      </c>
    </row>
    <row r="234" spans="2:10">
      <c r="B234" s="392" t="str">
        <f>Table1[[#This Row],[Cost Center Name]]&amp;Table1[[#This Row],[Job Name]]&amp;" "&amp;"-"&amp;" "&amp;Table1[[#This Row],[Job Code]]</f>
        <v>IS ES ConsultantsAdvisoryServices.LeadConsultant - 100005</v>
      </c>
      <c r="C234" s="392" t="s">
        <v>354</v>
      </c>
      <c r="D234" s="392" t="s">
        <v>185</v>
      </c>
      <c r="E234" s="392" t="s">
        <v>453</v>
      </c>
      <c r="F234" s="81" t="s">
        <v>517</v>
      </c>
      <c r="G234" s="81">
        <v>100005</v>
      </c>
      <c r="H234" s="392" t="s">
        <v>522</v>
      </c>
      <c r="I234" s="392" t="s">
        <v>358</v>
      </c>
      <c r="J234" s="81">
        <v>200.64</v>
      </c>
    </row>
    <row r="235" spans="2:10">
      <c r="B235" s="392" t="str">
        <f>Table1[[#This Row],[Cost Center Name]]&amp;Table1[[#This Row],[Job Name]]&amp;" "&amp;"-"&amp;" "&amp;Table1[[#This Row],[Job Code]]</f>
        <v>IS ES ConsultantsAdvisoryServices.PrincipalConsultant - 100007</v>
      </c>
      <c r="C235" s="392" t="s">
        <v>354</v>
      </c>
      <c r="D235" s="392" t="s">
        <v>185</v>
      </c>
      <c r="E235" s="392" t="s">
        <v>453</v>
      </c>
      <c r="F235" s="81" t="s">
        <v>517</v>
      </c>
      <c r="G235" s="81">
        <v>100007</v>
      </c>
      <c r="H235" s="392" t="s">
        <v>523</v>
      </c>
      <c r="I235" s="392" t="s">
        <v>358</v>
      </c>
      <c r="J235" s="81">
        <v>218.88</v>
      </c>
    </row>
    <row r="236" spans="2:10">
      <c r="B236" s="392" t="str">
        <f>Table1[[#This Row],[Cost Center Name]]&amp;Table1[[#This Row],[Job Name]]&amp;" "&amp;"-"&amp;" "&amp;Table1[[#This Row],[Job Code]]</f>
        <v>IS ES ConsultantsAdvisoryServices.SeniorConsultant - 100008</v>
      </c>
      <c r="C236" s="392" t="s">
        <v>354</v>
      </c>
      <c r="D236" s="392" t="s">
        <v>185</v>
      </c>
      <c r="E236" s="392" t="s">
        <v>453</v>
      </c>
      <c r="F236" s="81" t="s">
        <v>517</v>
      </c>
      <c r="G236" s="81">
        <v>100008</v>
      </c>
      <c r="H236" s="392" t="s">
        <v>524</v>
      </c>
      <c r="I236" s="392" t="s">
        <v>358</v>
      </c>
      <c r="J236" s="81">
        <v>177.84</v>
      </c>
    </row>
    <row r="237" spans="2:10">
      <c r="B237" s="392" t="str">
        <f>Table1[[#This Row],[Cost Center Name]]&amp;Table1[[#This Row],[Job Name]]&amp;" "&amp;"-"&amp;" "&amp;Table1[[#This Row],[Job Code]]</f>
        <v>IS ES Consultants DedicatedAdvisoryServices.Chief Architect - 100002</v>
      </c>
      <c r="C237" s="392" t="s">
        <v>354</v>
      </c>
      <c r="D237" s="392" t="s">
        <v>185</v>
      </c>
      <c r="E237" s="392" t="s">
        <v>453</v>
      </c>
      <c r="F237" s="81" t="s">
        <v>525</v>
      </c>
      <c r="G237" s="81">
        <v>100002</v>
      </c>
      <c r="H237" s="392" t="s">
        <v>519</v>
      </c>
      <c r="I237" s="392" t="s">
        <v>358</v>
      </c>
      <c r="J237" s="81">
        <v>194.93</v>
      </c>
    </row>
    <row r="238" spans="2:10">
      <c r="B238" s="392" t="str">
        <f>Table1[[#This Row],[Cost Center Name]]&amp;Table1[[#This Row],[Job Name]]&amp;" "&amp;"-"&amp;" "&amp;Table1[[#This Row],[Job Code]]</f>
        <v>IS ES Consultants DedicatedAdvisoryServices.SeniorConsultant - 100008</v>
      </c>
      <c r="C238" s="392" t="s">
        <v>354</v>
      </c>
      <c r="D238" s="392" t="s">
        <v>185</v>
      </c>
      <c r="E238" s="392" t="s">
        <v>453</v>
      </c>
      <c r="F238" s="81" t="s">
        <v>525</v>
      </c>
      <c r="G238" s="81">
        <v>100008</v>
      </c>
      <c r="H238" s="392" t="s">
        <v>524</v>
      </c>
      <c r="I238" s="392" t="s">
        <v>358</v>
      </c>
      <c r="J238" s="81">
        <v>150.54</v>
      </c>
    </row>
    <row r="239" spans="2:10">
      <c r="B239" s="392" t="str">
        <f>Table1[[#This Row],[Cost Center Name]]&amp;Table1[[#This Row],[Job Name]]&amp;" "&amp;"-"&amp;" "&amp;Table1[[#This Row],[Job Code]]</f>
        <v>IS ES OverheadAdvisoryServices.Chief Architect - 100002</v>
      </c>
      <c r="C239" s="392" t="s">
        <v>354</v>
      </c>
      <c r="D239" s="392" t="s">
        <v>185</v>
      </c>
      <c r="E239" s="392" t="s">
        <v>453</v>
      </c>
      <c r="F239" s="81" t="s">
        <v>526</v>
      </c>
      <c r="G239" s="81">
        <v>100002</v>
      </c>
      <c r="H239" s="392" t="s">
        <v>519</v>
      </c>
      <c r="I239" s="392" t="s">
        <v>358</v>
      </c>
      <c r="J239" s="81">
        <v>227.25</v>
      </c>
    </row>
    <row r="240" spans="2:10">
      <c r="B240" s="392" t="str">
        <f>Table1[[#This Row],[Cost Center Name]]&amp;Table1[[#This Row],[Job Name]]&amp;" "&amp;"-"&amp;" "&amp;Table1[[#This Row],[Job Code]]</f>
        <v>IS ES OverheadServices Overhead.Director - 100146</v>
      </c>
      <c r="C240" s="392" t="s">
        <v>354</v>
      </c>
      <c r="D240" s="392" t="s">
        <v>185</v>
      </c>
      <c r="E240" s="392" t="s">
        <v>453</v>
      </c>
      <c r="F240" s="81" t="s">
        <v>526</v>
      </c>
      <c r="G240" s="81">
        <v>100146</v>
      </c>
      <c r="H240" s="392" t="s">
        <v>445</v>
      </c>
      <c r="I240" s="392" t="s">
        <v>358</v>
      </c>
      <c r="J240" s="81">
        <v>227.25</v>
      </c>
    </row>
    <row r="241" spans="2:10">
      <c r="B241" s="392" t="str">
        <f>Table1[[#This Row],[Cost Center Name]]&amp;Table1[[#This Row],[Job Name]]&amp;" "&amp;"-"&amp;" "&amp;Table1[[#This Row],[Job Code]]</f>
        <v>IS ES OverheadServices Overhead.Manager - 100148</v>
      </c>
      <c r="C241" s="392" t="s">
        <v>354</v>
      </c>
      <c r="D241" s="392" t="s">
        <v>185</v>
      </c>
      <c r="E241" s="392" t="s">
        <v>453</v>
      </c>
      <c r="F241" s="81" t="s">
        <v>526</v>
      </c>
      <c r="G241" s="81">
        <v>100148</v>
      </c>
      <c r="H241" s="392" t="s">
        <v>362</v>
      </c>
      <c r="I241" s="392" t="s">
        <v>358</v>
      </c>
      <c r="J241" s="81">
        <v>159.75</v>
      </c>
    </row>
    <row r="242" spans="2:10">
      <c r="B242" s="392" t="str">
        <f>Table1[[#This Row],[Cost Center Name]]&amp;Table1[[#This Row],[Job Name]]&amp;" "&amp;"-"&amp;" "&amp;Table1[[#This Row],[Job Code]]</f>
        <v>IS ET R&amp;DServices Overhead.Manager - 100148</v>
      </c>
      <c r="C242" s="392" t="s">
        <v>354</v>
      </c>
      <c r="D242" s="392" t="s">
        <v>185</v>
      </c>
      <c r="E242" s="392" t="s">
        <v>453</v>
      </c>
      <c r="F242" s="81" t="s">
        <v>527</v>
      </c>
      <c r="G242" s="81">
        <v>100148</v>
      </c>
      <c r="H242" s="392" t="s">
        <v>362</v>
      </c>
      <c r="I242" s="392" t="s">
        <v>358</v>
      </c>
      <c r="J242" s="81">
        <v>159.75</v>
      </c>
    </row>
    <row r="243" spans="2:10">
      <c r="B243" s="392" t="str">
        <f>Table1[[#This Row],[Cost Center Name]]&amp;Table1[[#This Row],[Job Name]]&amp;" "&amp;"-"&amp;" "&amp;Table1[[#This Row],[Job Code]]</f>
        <v>IS ET R&amp;DServices Overhead.Staff - 100149</v>
      </c>
      <c r="C243" s="392" t="s">
        <v>354</v>
      </c>
      <c r="D243" s="392" t="s">
        <v>185</v>
      </c>
      <c r="E243" s="392" t="s">
        <v>453</v>
      </c>
      <c r="F243" s="81" t="s">
        <v>527</v>
      </c>
      <c r="G243" s="81">
        <v>100149</v>
      </c>
      <c r="H243" s="392" t="s">
        <v>363</v>
      </c>
      <c r="I243" s="392" t="s">
        <v>358</v>
      </c>
      <c r="J243" s="81">
        <v>99</v>
      </c>
    </row>
    <row r="244" spans="2:10">
      <c r="B244" s="392" t="str">
        <f>Table1[[#This Row],[Cost Center Name]]&amp;Table1[[#This Row],[Job Name]]&amp;" "&amp;"-"&amp;" "&amp;Table1[[#This Row],[Job Code]]</f>
        <v>IS MS EnablementProject Management.PM - 100139</v>
      </c>
      <c r="C244" s="392" t="s">
        <v>354</v>
      </c>
      <c r="D244" s="392" t="s">
        <v>185</v>
      </c>
      <c r="E244" s="392" t="s">
        <v>453</v>
      </c>
      <c r="F244" s="81" t="s">
        <v>528</v>
      </c>
      <c r="G244" s="81">
        <v>100139</v>
      </c>
      <c r="H244" s="392" t="s">
        <v>313</v>
      </c>
      <c r="I244" s="392" t="s">
        <v>358</v>
      </c>
      <c r="J244" s="81">
        <v>109.48</v>
      </c>
    </row>
    <row r="245" spans="2:10">
      <c r="B245" s="392" t="str">
        <f>Table1[[#This Row],[Cost Center Name]]&amp;Table1[[#This Row],[Job Name]]&amp;" "&amp;"-"&amp;" "&amp;Table1[[#This Row],[Job Code]]</f>
        <v>IS MS EnablementServices Overhead.Manager - 100148</v>
      </c>
      <c r="C245" s="392" t="s">
        <v>354</v>
      </c>
      <c r="D245" s="392" t="s">
        <v>185</v>
      </c>
      <c r="E245" s="392" t="s">
        <v>453</v>
      </c>
      <c r="F245" s="81" t="s">
        <v>528</v>
      </c>
      <c r="G245" s="81">
        <v>100148</v>
      </c>
      <c r="H245" s="392" t="s">
        <v>362</v>
      </c>
      <c r="I245" s="392" t="s">
        <v>358</v>
      </c>
      <c r="J245" s="81">
        <v>168.98</v>
      </c>
    </row>
    <row r="246" spans="2:10">
      <c r="B246" s="392" t="str">
        <f>Table1[[#This Row],[Cost Center Name]]&amp;Table1[[#This Row],[Job Name]]&amp;" "&amp;"-"&amp;" "&amp;Table1[[#This Row],[Job Code]]</f>
        <v>IS MS EnablementR&amp;S.Engineer - 100152</v>
      </c>
      <c r="C246" s="392" t="s">
        <v>354</v>
      </c>
      <c r="D246" s="392" t="s">
        <v>185</v>
      </c>
      <c r="E246" s="392" t="s">
        <v>453</v>
      </c>
      <c r="F246" s="81" t="s">
        <v>528</v>
      </c>
      <c r="G246" s="81">
        <v>100152</v>
      </c>
      <c r="H246" s="392" t="s">
        <v>476</v>
      </c>
      <c r="I246" s="392" t="s">
        <v>358</v>
      </c>
      <c r="J246" s="81">
        <v>138.04</v>
      </c>
    </row>
    <row r="247" spans="2:10">
      <c r="B247" s="392" t="str">
        <f>Table1[[#This Row],[Cost Center Name]]&amp;Table1[[#This Row],[Job Name]]&amp;" "&amp;"-"&amp;" "&amp;Table1[[#This Row],[Job Code]]</f>
        <v>IS MS EnablementR&amp;S.Sr Engineer - 100153</v>
      </c>
      <c r="C247" s="392" t="s">
        <v>354</v>
      </c>
      <c r="D247" s="392" t="s">
        <v>185</v>
      </c>
      <c r="E247" s="392" t="s">
        <v>453</v>
      </c>
      <c r="F247" s="81" t="s">
        <v>528</v>
      </c>
      <c r="G247" s="81">
        <v>100153</v>
      </c>
      <c r="H247" s="392" t="s">
        <v>461</v>
      </c>
      <c r="I247" s="392" t="s">
        <v>358</v>
      </c>
      <c r="J247" s="81">
        <v>190.4</v>
      </c>
    </row>
    <row r="248" spans="2:10">
      <c r="B248" s="392" t="str">
        <f>Table1[[#This Row],[Cost Center Name]]&amp;Table1[[#This Row],[Job Name]]&amp;" "&amp;"-"&amp;" "&amp;Table1[[#This Row],[Job Code]]</f>
        <v>IS MS EnablementSupport.Engineer - 100168</v>
      </c>
      <c r="C248" s="392" t="s">
        <v>354</v>
      </c>
      <c r="D248" s="392" t="s">
        <v>185</v>
      </c>
      <c r="E248" s="392" t="s">
        <v>453</v>
      </c>
      <c r="F248" s="81" t="s">
        <v>528</v>
      </c>
      <c r="G248" s="81">
        <v>100168</v>
      </c>
      <c r="H248" s="392" t="s">
        <v>499</v>
      </c>
      <c r="I248" s="392" t="s">
        <v>358</v>
      </c>
      <c r="J248" s="81">
        <v>99.96</v>
      </c>
    </row>
    <row r="249" spans="2:10">
      <c r="B249" s="392" t="str">
        <f>Table1[[#This Row],[Cost Center Name]]&amp;Table1[[#This Row],[Job Name]]&amp;" "&amp;"-"&amp;" "&amp;Table1[[#This Row],[Job Code]]</f>
        <v>IS MS EnablementVoice.Engineer - 100177</v>
      </c>
      <c r="C249" s="392" t="s">
        <v>354</v>
      </c>
      <c r="D249" s="392" t="s">
        <v>185</v>
      </c>
      <c r="E249" s="392" t="s">
        <v>453</v>
      </c>
      <c r="F249" s="81" t="s">
        <v>528</v>
      </c>
      <c r="G249" s="81">
        <v>100177</v>
      </c>
      <c r="H249" s="392" t="s">
        <v>478</v>
      </c>
      <c r="I249" s="392" t="s">
        <v>358</v>
      </c>
      <c r="J249" s="81">
        <v>149.94</v>
      </c>
    </row>
    <row r="250" spans="2:10">
      <c r="B250" s="392" t="str">
        <f>Table1[[#This Row],[Cost Center Name]]&amp;Table1[[#This Row],[Job Name]]&amp;" "&amp;"-"&amp;" "&amp;Table1[[#This Row],[Job Code]]</f>
        <v>IS MS EnablementVoice.Sr Engineer - 100178</v>
      </c>
      <c r="C250" s="392" t="s">
        <v>354</v>
      </c>
      <c r="D250" s="392" t="s">
        <v>185</v>
      </c>
      <c r="E250" s="392" t="s">
        <v>453</v>
      </c>
      <c r="F250" s="81" t="s">
        <v>528</v>
      </c>
      <c r="G250" s="81">
        <v>100178</v>
      </c>
      <c r="H250" s="392" t="s">
        <v>479</v>
      </c>
      <c r="I250" s="392" t="s">
        <v>358</v>
      </c>
      <c r="J250" s="81">
        <v>183.26</v>
      </c>
    </row>
    <row r="251" spans="2:10">
      <c r="B251" s="392" t="str">
        <f>Table1[[#This Row],[Cost Center Name]]&amp;Table1[[#This Row],[Job Name]]&amp;" "&amp;"-"&amp;" "&amp;Table1[[#This Row],[Job Code]]</f>
        <v>IS MS EnablementManaged Svcs.Client Exp Champion - 100246</v>
      </c>
      <c r="C251" s="392" t="s">
        <v>354</v>
      </c>
      <c r="D251" s="392" t="s">
        <v>185</v>
      </c>
      <c r="E251" s="392" t="s">
        <v>453</v>
      </c>
      <c r="F251" s="81" t="s">
        <v>528</v>
      </c>
      <c r="G251" s="81">
        <v>100246</v>
      </c>
      <c r="H251" s="392" t="s">
        <v>529</v>
      </c>
      <c r="I251" s="392" t="s">
        <v>358</v>
      </c>
      <c r="J251" s="81">
        <v>154.69999999999999</v>
      </c>
    </row>
    <row r="252" spans="2:10">
      <c r="B252" s="392" t="str">
        <f>Table1[[#This Row],[Cost Center Name]]&amp;Table1[[#This Row],[Job Name]]&amp;" "&amp;"-"&amp;" "&amp;Table1[[#This Row],[Job Code]]</f>
        <v>IS MS EnablementManaged Svcs.Client Exp Specialist - 100247</v>
      </c>
      <c r="C252" s="392" t="s">
        <v>354</v>
      </c>
      <c r="D252" s="392" t="s">
        <v>185</v>
      </c>
      <c r="E252" s="392" t="s">
        <v>453</v>
      </c>
      <c r="F252" s="81" t="s">
        <v>528</v>
      </c>
      <c r="G252" s="81">
        <v>100247</v>
      </c>
      <c r="H252" s="392" t="s">
        <v>530</v>
      </c>
      <c r="I252" s="392" t="s">
        <v>358</v>
      </c>
      <c r="J252" s="81">
        <v>76.16</v>
      </c>
    </row>
    <row r="253" spans="2:10">
      <c r="B253" s="392" t="str">
        <f>Table1[[#This Row],[Cost Center Name]]&amp;Table1[[#This Row],[Job Name]]&amp;" "&amp;"-"&amp;" "&amp;Table1[[#This Row],[Job Code]]</f>
        <v>IS MS OverheadServices Overhead.Director - 100146</v>
      </c>
      <c r="C253" s="392" t="s">
        <v>354</v>
      </c>
      <c r="D253" s="392" t="s">
        <v>185</v>
      </c>
      <c r="E253" s="392" t="s">
        <v>453</v>
      </c>
      <c r="F253" s="81" t="s">
        <v>531</v>
      </c>
      <c r="G253" s="81">
        <v>100146</v>
      </c>
      <c r="H253" s="392" t="s">
        <v>445</v>
      </c>
      <c r="I253" s="392" t="s">
        <v>358</v>
      </c>
      <c r="J253" s="81">
        <v>227.25</v>
      </c>
    </row>
    <row r="254" spans="2:10">
      <c r="B254" s="392" t="str">
        <f>Table1[[#This Row],[Cost Center Name]]&amp;Table1[[#This Row],[Job Name]]&amp;" "&amp;"-"&amp;" "&amp;Table1[[#This Row],[Job Code]]</f>
        <v>IS MS OverheadServices Overhead.Staff - 100149</v>
      </c>
      <c r="C254" s="392" t="s">
        <v>354</v>
      </c>
      <c r="D254" s="392" t="s">
        <v>185</v>
      </c>
      <c r="E254" s="392" t="s">
        <v>453</v>
      </c>
      <c r="F254" s="81" t="s">
        <v>531</v>
      </c>
      <c r="G254" s="81">
        <v>100149</v>
      </c>
      <c r="H254" s="392" t="s">
        <v>363</v>
      </c>
      <c r="I254" s="392" t="s">
        <v>358</v>
      </c>
      <c r="J254" s="81">
        <v>99</v>
      </c>
    </row>
    <row r="255" spans="2:10">
      <c r="B255" s="392" t="str">
        <f>Table1[[#This Row],[Cost Center Name]]&amp;Table1[[#This Row],[Job Name]]&amp;" "&amp;"-"&amp;" "&amp;Table1[[#This Row],[Job Code]]</f>
        <v>IS OH AllctdServices Overhead.Manager - 100148</v>
      </c>
      <c r="C255" s="392" t="s">
        <v>354</v>
      </c>
      <c r="D255" s="392" t="s">
        <v>185</v>
      </c>
      <c r="E255" s="392" t="s">
        <v>453</v>
      </c>
      <c r="F255" s="81" t="s">
        <v>532</v>
      </c>
      <c r="G255" s="81">
        <v>100148</v>
      </c>
      <c r="H255" s="392" t="s">
        <v>362</v>
      </c>
      <c r="I255" s="392" t="s">
        <v>358</v>
      </c>
      <c r="J255" s="81">
        <v>159.75</v>
      </c>
    </row>
    <row r="256" spans="2:10">
      <c r="B256" s="392" t="str">
        <f>Table1[[#This Row],[Cost Center Name]]&amp;Table1[[#This Row],[Job Name]]&amp;" "&amp;"-"&amp;" "&amp;Table1[[#This Row],[Job Code]]</f>
        <v>IS OH Allctd - GES CentralServices Overhead.Manager - 100148</v>
      </c>
      <c r="C256" s="392" t="s">
        <v>354</v>
      </c>
      <c r="D256" s="392" t="s">
        <v>185</v>
      </c>
      <c r="E256" s="392" t="s">
        <v>453</v>
      </c>
      <c r="F256" s="81" t="s">
        <v>533</v>
      </c>
      <c r="G256" s="81">
        <v>100148</v>
      </c>
      <c r="H256" s="392" t="s">
        <v>362</v>
      </c>
      <c r="I256" s="392" t="s">
        <v>358</v>
      </c>
      <c r="J256" s="81">
        <v>159.75</v>
      </c>
    </row>
    <row r="257" spans="2:10">
      <c r="B257" s="392" t="str">
        <f>Table1[[#This Row],[Cost Center Name]]&amp;Table1[[#This Row],[Job Name]]&amp;" "&amp;"-"&amp;" "&amp;Table1[[#This Row],[Job Code]]</f>
        <v>IS OH Allctd - GES East EntServices Overhead.Manager - 100148</v>
      </c>
      <c r="C257" s="392" t="s">
        <v>354</v>
      </c>
      <c r="D257" s="392" t="s">
        <v>185</v>
      </c>
      <c r="E257" s="392" t="s">
        <v>453</v>
      </c>
      <c r="F257" s="81" t="s">
        <v>534</v>
      </c>
      <c r="G257" s="81">
        <v>100148</v>
      </c>
      <c r="H257" s="392" t="s">
        <v>362</v>
      </c>
      <c r="I257" s="392" t="s">
        <v>358</v>
      </c>
      <c r="J257" s="81">
        <v>159.75</v>
      </c>
    </row>
    <row r="258" spans="2:10">
      <c r="B258" s="392" t="str">
        <f>Table1[[#This Row],[Cost Center Name]]&amp;Table1[[#This Row],[Job Name]]&amp;" "&amp;"-"&amp;" "&amp;Table1[[#This Row],[Job Code]]</f>
        <v>IS OH Allctd - GES GlobalServices Overhead.Manager - 100148</v>
      </c>
      <c r="C258" s="392" t="s">
        <v>354</v>
      </c>
      <c r="D258" s="392" t="s">
        <v>185</v>
      </c>
      <c r="E258" s="392" t="s">
        <v>453</v>
      </c>
      <c r="F258" s="81" t="s">
        <v>535</v>
      </c>
      <c r="G258" s="81">
        <v>100148</v>
      </c>
      <c r="H258" s="392" t="s">
        <v>362</v>
      </c>
      <c r="I258" s="392" t="s">
        <v>358</v>
      </c>
      <c r="J258" s="81">
        <v>159.75</v>
      </c>
    </row>
    <row r="259" spans="2:10">
      <c r="B259" s="392" t="str">
        <f>Table1[[#This Row],[Cost Center Name]]&amp;Table1[[#This Row],[Job Name]]&amp;" "&amp;"-"&amp;" "&amp;Table1[[#This Row],[Job Code]]</f>
        <v>IS OH Allctd - GES WestServices Overhead.Manager - 100148</v>
      </c>
      <c r="C259" s="392" t="s">
        <v>354</v>
      </c>
      <c r="D259" s="392" t="s">
        <v>185</v>
      </c>
      <c r="E259" s="392" t="s">
        <v>453</v>
      </c>
      <c r="F259" s="81" t="s">
        <v>536</v>
      </c>
      <c r="G259" s="81">
        <v>100148</v>
      </c>
      <c r="H259" s="392" t="s">
        <v>362</v>
      </c>
      <c r="I259" s="392" t="s">
        <v>358</v>
      </c>
      <c r="J259" s="81">
        <v>159.75</v>
      </c>
    </row>
    <row r="260" spans="2:10">
      <c r="B260" s="392" t="str">
        <f>Table1[[#This Row],[Cost Center Name]]&amp;Table1[[#This Row],[Job Name]]&amp;" "&amp;"-"&amp;" "&amp;Table1[[#This Row],[Job Code]]</f>
        <v>IS OH Allctd - Public SectorServices Overhead.Manager - 100148</v>
      </c>
      <c r="C260" s="392" t="s">
        <v>354</v>
      </c>
      <c r="D260" s="392" t="s">
        <v>185</v>
      </c>
      <c r="E260" s="392" t="s">
        <v>453</v>
      </c>
      <c r="F260" s="81" t="s">
        <v>537</v>
      </c>
      <c r="G260" s="81">
        <v>100148</v>
      </c>
      <c r="H260" s="392" t="s">
        <v>362</v>
      </c>
      <c r="I260" s="392" t="s">
        <v>358</v>
      </c>
      <c r="J260" s="81">
        <v>159.75</v>
      </c>
    </row>
    <row r="261" spans="2:10">
      <c r="B261" s="392" t="str">
        <f>Table1[[#This Row],[Cost Center Name]]&amp;Table1[[#This Row],[Job Name]]&amp;" "&amp;"-"&amp;" "&amp;Table1[[#This Row],[Job Code]]</f>
        <v>IS OH Allctd Kaiser PrgmEngineering.Coordinator - 100107</v>
      </c>
      <c r="C261" s="392" t="s">
        <v>354</v>
      </c>
      <c r="D261" s="392" t="s">
        <v>185</v>
      </c>
      <c r="E261" s="392" t="s">
        <v>453</v>
      </c>
      <c r="F261" s="81" t="s">
        <v>538</v>
      </c>
      <c r="G261" s="81">
        <v>100107</v>
      </c>
      <c r="H261" s="392" t="s">
        <v>458</v>
      </c>
      <c r="I261" s="392" t="s">
        <v>358</v>
      </c>
      <c r="J261" s="81">
        <v>76.5</v>
      </c>
    </row>
    <row r="262" spans="2:10">
      <c r="B262" s="392" t="str">
        <f>Table1[[#This Row],[Cost Center Name]]&amp;Table1[[#This Row],[Job Name]]&amp;" "&amp;"-"&amp;" "&amp;Table1[[#This Row],[Job Code]]</f>
        <v>IS OH Allctd Kaiser PrgmServices Overhead.Manager - 100148</v>
      </c>
      <c r="C262" s="392" t="s">
        <v>354</v>
      </c>
      <c r="D262" s="392" t="s">
        <v>185</v>
      </c>
      <c r="E262" s="392" t="s">
        <v>453</v>
      </c>
      <c r="F262" s="81" t="s">
        <v>538</v>
      </c>
      <c r="G262" s="81">
        <v>100148</v>
      </c>
      <c r="H262" s="392" t="s">
        <v>362</v>
      </c>
      <c r="I262" s="392" t="s">
        <v>358</v>
      </c>
      <c r="J262" s="81">
        <v>159.75</v>
      </c>
    </row>
    <row r="263" spans="2:10">
      <c r="B263" s="392" t="str">
        <f>Table1[[#This Row],[Cost Center Name]]&amp;Table1[[#This Row],[Job Name]]&amp;" "&amp;"-"&amp;" "&amp;Table1[[#This Row],[Job Code]]</f>
        <v>IS OH Allctd Kaiser PrgmR&amp;S.Architect - 100151</v>
      </c>
      <c r="C263" s="392" t="s">
        <v>354</v>
      </c>
      <c r="D263" s="392" t="s">
        <v>185</v>
      </c>
      <c r="E263" s="392" t="s">
        <v>453</v>
      </c>
      <c r="F263" s="81" t="s">
        <v>538</v>
      </c>
      <c r="G263" s="81">
        <v>100151</v>
      </c>
      <c r="H263" s="392" t="s">
        <v>470</v>
      </c>
      <c r="I263" s="392" t="s">
        <v>358</v>
      </c>
      <c r="J263" s="81">
        <v>195.75</v>
      </c>
    </row>
    <row r="264" spans="2:10">
      <c r="B264" s="392" t="str">
        <f>Table1[[#This Row],[Cost Center Name]]&amp;Table1[[#This Row],[Job Name]]&amp;" "&amp;"-"&amp;" "&amp;Table1[[#This Row],[Job Code]]</f>
        <v>IS OH Allctd Kaiser PrgmVoice.Architect - 100176</v>
      </c>
      <c r="C264" s="392" t="s">
        <v>354</v>
      </c>
      <c r="D264" s="392" t="s">
        <v>185</v>
      </c>
      <c r="E264" s="392" t="s">
        <v>453</v>
      </c>
      <c r="F264" s="81" t="s">
        <v>538</v>
      </c>
      <c r="G264" s="81">
        <v>100176</v>
      </c>
      <c r="H264" s="392" t="s">
        <v>471</v>
      </c>
      <c r="I264" s="392" t="s">
        <v>358</v>
      </c>
      <c r="J264" s="81">
        <v>200.25</v>
      </c>
    </row>
    <row r="265" spans="2:10">
      <c r="B265" s="392" t="str">
        <f>Table1[[#This Row],[Cost Center Name]]&amp;Table1[[#This Row],[Job Name]]&amp;" "&amp;"-"&amp;" "&amp;Table1[[#This Row],[Job Code]]</f>
        <v>IS OH OverheadProject Management.Sr PM - 100142</v>
      </c>
      <c r="C265" s="392" t="s">
        <v>354</v>
      </c>
      <c r="D265" s="392" t="s">
        <v>185</v>
      </c>
      <c r="E265" s="392" t="s">
        <v>453</v>
      </c>
      <c r="F265" s="81" t="s">
        <v>539</v>
      </c>
      <c r="G265" s="81">
        <v>100142</v>
      </c>
      <c r="H265" s="392" t="s">
        <v>305</v>
      </c>
      <c r="I265" s="392" t="s">
        <v>358</v>
      </c>
      <c r="J265" s="81">
        <v>146.25</v>
      </c>
    </row>
    <row r="266" spans="2:10">
      <c r="B266" s="392" t="str">
        <f>Table1[[#This Row],[Cost Center Name]]&amp;" "&amp;Table1[[#This Row],[Job Name]]&amp;" "&amp;"-"&amp;" "&amp;Table1[[#This Row],[Job Code]]</f>
        <v>IS OH Overhead Services Overhead.Director - 100146</v>
      </c>
      <c r="C266" s="392" t="s">
        <v>354</v>
      </c>
      <c r="D266" s="392" t="s">
        <v>185</v>
      </c>
      <c r="E266" s="392" t="s">
        <v>453</v>
      </c>
      <c r="F266" s="81" t="s">
        <v>539</v>
      </c>
      <c r="G266" s="81">
        <v>100146</v>
      </c>
      <c r="H266" s="392" t="s">
        <v>445</v>
      </c>
      <c r="I266" s="392" t="s">
        <v>358</v>
      </c>
      <c r="J266" s="81">
        <v>227.25</v>
      </c>
    </row>
    <row r="267" spans="2:10">
      <c r="B267" s="392" t="str">
        <f>Table1[[#This Row],[Cost Center Name]]&amp;" "&amp;Table1[[#This Row],[Job Name]]&amp;" "&amp;"-"&amp;" "&amp;Table1[[#This Row],[Job Code]]</f>
        <v>IS OH Overhead Services Overhead.Manager - 100148</v>
      </c>
      <c r="C267" s="392" t="s">
        <v>354</v>
      </c>
      <c r="D267" s="392" t="s">
        <v>185</v>
      </c>
      <c r="E267" s="392" t="s">
        <v>453</v>
      </c>
      <c r="F267" s="81" t="s">
        <v>539</v>
      </c>
      <c r="G267" s="81">
        <v>100148</v>
      </c>
      <c r="H267" s="392" t="s">
        <v>362</v>
      </c>
      <c r="I267" s="392" t="s">
        <v>358</v>
      </c>
      <c r="J267" s="81">
        <v>159.75</v>
      </c>
    </row>
    <row r="268" spans="2:10">
      <c r="B268" s="392" t="str">
        <f>Table1[[#This Row],[Cost Center Name]]&amp;" "&amp;Table1[[#This Row],[Job Name]]&amp;" "&amp;"-"&amp;" "&amp;Table1[[#This Row],[Job Code]]</f>
        <v>IS OH Practice Mgmt Data Center.Architect - 100080</v>
      </c>
      <c r="C268" s="392" t="s">
        <v>354</v>
      </c>
      <c r="D268" s="392" t="s">
        <v>185</v>
      </c>
      <c r="E268" s="392" t="s">
        <v>453</v>
      </c>
      <c r="F268" s="81" t="s">
        <v>540</v>
      </c>
      <c r="G268" s="81">
        <v>100080</v>
      </c>
      <c r="H268" s="392" t="s">
        <v>469</v>
      </c>
      <c r="I268" s="392" t="s">
        <v>358</v>
      </c>
      <c r="J268" s="81">
        <v>191.25</v>
      </c>
    </row>
    <row r="269" spans="2:10">
      <c r="B269" s="392" t="str">
        <f>Table1[[#This Row],[Cost Center Name]]&amp;" "&amp;Table1[[#This Row],[Job Name]]&amp;" "&amp;"-"&amp;" "&amp;Table1[[#This Row],[Job Code]]</f>
        <v>IS OH Practice Mgmt R&amp;S.Architect - 100151</v>
      </c>
      <c r="C269" s="392" t="s">
        <v>354</v>
      </c>
      <c r="D269" s="392" t="s">
        <v>185</v>
      </c>
      <c r="E269" s="392" t="s">
        <v>453</v>
      </c>
      <c r="F269" s="81" t="s">
        <v>540</v>
      </c>
      <c r="G269" s="81">
        <v>100151</v>
      </c>
      <c r="H269" s="392" t="s">
        <v>470</v>
      </c>
      <c r="I269" s="392" t="s">
        <v>358</v>
      </c>
      <c r="J269" s="81">
        <v>195.75</v>
      </c>
    </row>
    <row r="270" spans="2:10">
      <c r="B270" s="392" t="str">
        <f>Table1[[#This Row],[Cost Center Name]]&amp;" "&amp;Table1[[#This Row],[Job Name]]&amp;" "&amp;"-"&amp;" "&amp;Table1[[#This Row],[Job Code]]</f>
        <v>IS OH Practice Mgmt SDN.Architect - 100154</v>
      </c>
      <c r="C270" s="392" t="s">
        <v>354</v>
      </c>
      <c r="D270" s="392" t="s">
        <v>185</v>
      </c>
      <c r="E270" s="392" t="s">
        <v>453</v>
      </c>
      <c r="F270" s="81" t="s">
        <v>540</v>
      </c>
      <c r="G270" s="81">
        <v>100154</v>
      </c>
      <c r="H270" s="392" t="s">
        <v>489</v>
      </c>
      <c r="I270" s="392" t="s">
        <v>358</v>
      </c>
      <c r="J270" s="81">
        <v>182.25</v>
      </c>
    </row>
    <row r="271" spans="2:10">
      <c r="B271" s="392" t="str">
        <f>Table1[[#This Row],[Cost Center Name]]&amp;" "&amp;Table1[[#This Row],[Job Name]]&amp;" "&amp;"-"&amp;" "&amp;Table1[[#This Row],[Job Code]]</f>
        <v>IS OH Practice Mgmt Security.Architect - 100155</v>
      </c>
      <c r="C271" s="392" t="s">
        <v>354</v>
      </c>
      <c r="D271" s="392" t="s">
        <v>185</v>
      </c>
      <c r="E271" s="392" t="s">
        <v>453</v>
      </c>
      <c r="F271" s="81" t="s">
        <v>540</v>
      </c>
      <c r="G271" s="81">
        <v>100155</v>
      </c>
      <c r="H271" s="392" t="s">
        <v>485</v>
      </c>
      <c r="I271" s="392" t="s">
        <v>358</v>
      </c>
      <c r="J271" s="81">
        <v>200.25</v>
      </c>
    </row>
    <row r="272" spans="2:10">
      <c r="B272" s="392" t="str">
        <f>Table1[[#This Row],[Cost Center Name]]&amp;" "&amp;Table1[[#This Row],[Job Name]]&amp;" "&amp;"-"&amp;" "&amp;Table1[[#This Row],[Job Code]]</f>
        <v>IS OH Practice Mgmt Voice.Architect - 100176</v>
      </c>
      <c r="C272" s="392" t="s">
        <v>354</v>
      </c>
      <c r="D272" s="392" t="s">
        <v>185</v>
      </c>
      <c r="E272" s="392" t="s">
        <v>453</v>
      </c>
      <c r="F272" s="81" t="s">
        <v>540</v>
      </c>
      <c r="G272" s="81">
        <v>100176</v>
      </c>
      <c r="H272" s="392" t="s">
        <v>471</v>
      </c>
      <c r="I272" s="392" t="s">
        <v>358</v>
      </c>
      <c r="J272" s="81">
        <v>200.25</v>
      </c>
    </row>
    <row r="273" spans="2:10">
      <c r="B273" s="392" t="str">
        <f>Table1[[#This Row],[Cost Center Name]]&amp;" "&amp;Table1[[#This Row],[Job Name]]&amp;" "&amp;"-"&amp;" "&amp;Table1[[#This Row],[Job Code]]</f>
        <v>SV House Allctd - GES Central Services Overhead.Director - 100146</v>
      </c>
      <c r="C273" s="392" t="s">
        <v>354</v>
      </c>
      <c r="D273" s="392" t="s">
        <v>185</v>
      </c>
      <c r="E273" s="392" t="s">
        <v>541</v>
      </c>
      <c r="F273" s="81" t="s">
        <v>542</v>
      </c>
      <c r="G273" s="81">
        <v>100146</v>
      </c>
      <c r="H273" s="392" t="s">
        <v>445</v>
      </c>
      <c r="I273" s="392" t="s">
        <v>358</v>
      </c>
      <c r="J273" s="81">
        <v>227.25</v>
      </c>
    </row>
    <row r="274" spans="2:10">
      <c r="B274" s="392" t="str">
        <f>Table1[[#This Row],[Cost Center Name]]&amp;" "&amp;Table1[[#This Row],[Job Name]]&amp;" "&amp;"-"&amp;" "&amp;Table1[[#This Row],[Job Code]]</f>
        <v>SV House Allctd - GES Central Services Overhead.Manager - 100148</v>
      </c>
      <c r="C274" s="392" t="s">
        <v>354</v>
      </c>
      <c r="D274" s="392" t="s">
        <v>185</v>
      </c>
      <c r="E274" s="392" t="s">
        <v>541</v>
      </c>
      <c r="F274" s="81" t="s">
        <v>542</v>
      </c>
      <c r="G274" s="81">
        <v>100148</v>
      </c>
      <c r="H274" s="392" t="s">
        <v>362</v>
      </c>
      <c r="I274" s="392" t="s">
        <v>358</v>
      </c>
      <c r="J274" s="81">
        <v>159.75</v>
      </c>
    </row>
    <row r="275" spans="2:10">
      <c r="B275" s="392" t="str">
        <f>Table1[[#This Row],[Cost Center Name]]&amp;" "&amp;Table1[[#This Row],[Job Name]]&amp;" "&amp;"-"&amp;" "&amp;Table1[[#This Row],[Job Code]]</f>
        <v>SV House Allctd - GES East Ent Services Overhead.Director - 100146</v>
      </c>
      <c r="C275" s="392" t="s">
        <v>354</v>
      </c>
      <c r="D275" s="392" t="s">
        <v>185</v>
      </c>
      <c r="E275" s="392" t="s">
        <v>541</v>
      </c>
      <c r="F275" s="81" t="s">
        <v>543</v>
      </c>
      <c r="G275" s="81">
        <v>100146</v>
      </c>
      <c r="H275" s="392" t="s">
        <v>445</v>
      </c>
      <c r="I275" s="392" t="s">
        <v>358</v>
      </c>
      <c r="J275" s="81">
        <v>227.25</v>
      </c>
    </row>
    <row r="276" spans="2:10">
      <c r="B276" s="392" t="str">
        <f>Table1[[#This Row],[Cost Center Name]]&amp;" "&amp;Table1[[#This Row],[Job Name]]&amp;" "&amp;"-"&amp;" "&amp;Table1[[#This Row],[Job Code]]</f>
        <v>SV House Allctd - GES East Ent Services Overhead.Manager - 100148</v>
      </c>
      <c r="C276" s="392" t="s">
        <v>354</v>
      </c>
      <c r="D276" s="392" t="s">
        <v>185</v>
      </c>
      <c r="E276" s="392" t="s">
        <v>541</v>
      </c>
      <c r="F276" s="81" t="s">
        <v>543</v>
      </c>
      <c r="G276" s="81">
        <v>100148</v>
      </c>
      <c r="H276" s="392" t="s">
        <v>362</v>
      </c>
      <c r="I276" s="392" t="s">
        <v>358</v>
      </c>
      <c r="J276" s="81">
        <v>159.75</v>
      </c>
    </row>
    <row r="277" spans="2:10">
      <c r="B277" s="392" t="str">
        <f>Table1[[#This Row],[Cost Center Name]]&amp;" "&amp;Table1[[#This Row],[Job Name]]&amp;" "&amp;"-"&amp;" "&amp;Table1[[#This Row],[Job Code]]</f>
        <v>SV House Allctd - GES Global Services Overhead.Manager - 100148</v>
      </c>
      <c r="C277" s="392" t="s">
        <v>354</v>
      </c>
      <c r="D277" s="392" t="s">
        <v>185</v>
      </c>
      <c r="E277" s="392" t="s">
        <v>541</v>
      </c>
      <c r="F277" s="81" t="s">
        <v>544</v>
      </c>
      <c r="G277" s="81">
        <v>100148</v>
      </c>
      <c r="H277" s="392" t="s">
        <v>362</v>
      </c>
      <c r="I277" s="392" t="s">
        <v>358</v>
      </c>
      <c r="J277" s="81">
        <v>159.75</v>
      </c>
    </row>
    <row r="278" spans="2:10">
      <c r="B278" s="392" t="str">
        <f>Table1[[#This Row],[Cost Center Name]]&amp;" "&amp;Table1[[#This Row],[Job Name]]&amp;" "&amp;"-"&amp;" "&amp;Table1[[#This Row],[Job Code]]</f>
        <v>SV House Allctd - GES West Services Overhead.Director - 100146</v>
      </c>
      <c r="C278" s="392" t="s">
        <v>354</v>
      </c>
      <c r="D278" s="392" t="s">
        <v>185</v>
      </c>
      <c r="E278" s="392" t="s">
        <v>541</v>
      </c>
      <c r="F278" s="81" t="s">
        <v>545</v>
      </c>
      <c r="G278" s="81">
        <v>100146</v>
      </c>
      <c r="H278" s="392" t="s">
        <v>445</v>
      </c>
      <c r="I278" s="392" t="s">
        <v>358</v>
      </c>
      <c r="J278" s="81">
        <v>227.25</v>
      </c>
    </row>
    <row r="279" spans="2:10">
      <c r="B279" s="392" t="str">
        <f>Table1[[#This Row],[Cost Center Name]]&amp;" "&amp;Table1[[#This Row],[Job Name]]&amp;" "&amp;"-"&amp;" "&amp;Table1[[#This Row],[Job Code]]</f>
        <v>SV House Allctd - GES West Services Overhead.Manager - 100148</v>
      </c>
      <c r="C279" s="392" t="s">
        <v>354</v>
      </c>
      <c r="D279" s="392" t="s">
        <v>185</v>
      </c>
      <c r="E279" s="392" t="s">
        <v>541</v>
      </c>
      <c r="F279" s="81" t="s">
        <v>545</v>
      </c>
      <c r="G279" s="81">
        <v>100148</v>
      </c>
      <c r="H279" s="392" t="s">
        <v>362</v>
      </c>
      <c r="I279" s="392" t="s">
        <v>358</v>
      </c>
      <c r="J279" s="81">
        <v>159.75</v>
      </c>
    </row>
    <row r="280" spans="2:10">
      <c r="B280" s="392" t="str">
        <f>Table1[[#This Row],[Cost Center Name]]&amp;" "&amp;Table1[[#This Row],[Job Name]]&amp;" "&amp;"-"&amp;" "&amp;Table1[[#This Row],[Job Code]]</f>
        <v>SV House Allctd - GSP Services Overhead.Manager - 100148</v>
      </c>
      <c r="C280" s="392" t="s">
        <v>354</v>
      </c>
      <c r="D280" s="392" t="s">
        <v>185</v>
      </c>
      <c r="E280" s="392" t="s">
        <v>541</v>
      </c>
      <c r="F280" s="81" t="s">
        <v>546</v>
      </c>
      <c r="G280" s="81">
        <v>100148</v>
      </c>
      <c r="H280" s="392" t="s">
        <v>362</v>
      </c>
      <c r="I280" s="392" t="s">
        <v>358</v>
      </c>
      <c r="J280" s="81">
        <v>159.75</v>
      </c>
    </row>
    <row r="281" spans="2:10">
      <c r="B281" s="392" t="str">
        <f>Table1[[#This Row],[Cost Center Name]]&amp;" "&amp;Table1[[#This Row],[Job Name]]&amp;" "&amp;"-"&amp;" "&amp;Table1[[#This Row],[Job Code]]</f>
        <v>SV House Allctd - Public Sec Services Overhead.Director - 100146</v>
      </c>
      <c r="C281" s="392" t="s">
        <v>354</v>
      </c>
      <c r="D281" s="392" t="s">
        <v>185</v>
      </c>
      <c r="E281" s="392" t="s">
        <v>541</v>
      </c>
      <c r="F281" s="81" t="s">
        <v>547</v>
      </c>
      <c r="G281" s="81">
        <v>100146</v>
      </c>
      <c r="H281" s="392" t="s">
        <v>445</v>
      </c>
      <c r="I281" s="392" t="s">
        <v>358</v>
      </c>
      <c r="J281" s="81">
        <v>227.25</v>
      </c>
    </row>
    <row r="282" spans="2:10">
      <c r="B282" s="392" t="str">
        <f>Table1[[#This Row],[Cost Center Name]]&amp;" "&amp;Table1[[#This Row],[Job Name]]&amp;" "&amp;"-"&amp;" "&amp;Table1[[#This Row],[Job Code]]</f>
        <v>SV House Allctd - Public Sec Services Overhead.Manager - 100148</v>
      </c>
      <c r="C282" s="392" t="s">
        <v>354</v>
      </c>
      <c r="D282" s="392" t="s">
        <v>185</v>
      </c>
      <c r="E282" s="392" t="s">
        <v>541</v>
      </c>
      <c r="F282" s="81" t="s">
        <v>547</v>
      </c>
      <c r="G282" s="81">
        <v>100148</v>
      </c>
      <c r="H282" s="392" t="s">
        <v>362</v>
      </c>
      <c r="I282" s="392" t="s">
        <v>358</v>
      </c>
      <c r="J282" s="81">
        <v>159.75</v>
      </c>
    </row>
    <row r="283" spans="2:10">
      <c r="B283" s="392" t="str">
        <f>Table1[[#This Row],[Cost Center Name]]&amp;" "&amp;Table1[[#This Row],[Job Name]]&amp;" "&amp;"-"&amp;" "&amp;Table1[[#This Row],[Job Code]]</f>
        <v>SV House Allocated Services Overhead.Director - 100146</v>
      </c>
      <c r="C283" s="392" t="s">
        <v>354</v>
      </c>
      <c r="D283" s="392" t="s">
        <v>185</v>
      </c>
      <c r="E283" s="392" t="s">
        <v>541</v>
      </c>
      <c r="F283" s="81" t="s">
        <v>548</v>
      </c>
      <c r="G283" s="81">
        <v>100146</v>
      </c>
      <c r="H283" s="392" t="s">
        <v>445</v>
      </c>
      <c r="I283" s="392" t="s">
        <v>358</v>
      </c>
      <c r="J283" s="81">
        <v>227.25</v>
      </c>
    </row>
    <row r="284" spans="2:10">
      <c r="B284" s="392" t="str">
        <f>Table1[[#This Row],[Cost Center Name]]&amp;" "&amp;Table1[[#This Row],[Job Name]]&amp;" "&amp;"-"&amp;" "&amp;Table1[[#This Row],[Job Code]]</f>
        <v>SV House BD Services Overhead.Director - 100146</v>
      </c>
      <c r="C284" s="392" t="s">
        <v>354</v>
      </c>
      <c r="D284" s="392" t="s">
        <v>185</v>
      </c>
      <c r="E284" s="392" t="s">
        <v>541</v>
      </c>
      <c r="F284" s="81" t="s">
        <v>549</v>
      </c>
      <c r="G284" s="81">
        <v>100146</v>
      </c>
      <c r="H284" s="392" t="s">
        <v>445</v>
      </c>
      <c r="I284" s="392" t="s">
        <v>358</v>
      </c>
      <c r="J284" s="81">
        <v>227.25</v>
      </c>
    </row>
    <row r="285" spans="2:10">
      <c r="B285" s="392" t="str">
        <f>Table1[[#This Row],[Cost Center Name]]&amp;" "&amp;Table1[[#This Row],[Job Name]]&amp;" "&amp;"-"&amp;" "&amp;Table1[[#This Row],[Job Code]]</f>
        <v>SV House BD Services Overhead.Manager - 100148</v>
      </c>
      <c r="C285" s="392" t="s">
        <v>354</v>
      </c>
      <c r="D285" s="392" t="s">
        <v>185</v>
      </c>
      <c r="E285" s="392" t="s">
        <v>541</v>
      </c>
      <c r="F285" s="81" t="s">
        <v>549</v>
      </c>
      <c r="G285" s="81">
        <v>100148</v>
      </c>
      <c r="H285" s="392" t="s">
        <v>362</v>
      </c>
      <c r="I285" s="392" t="s">
        <v>358</v>
      </c>
      <c r="J285" s="81">
        <v>159.75</v>
      </c>
    </row>
    <row r="286" spans="2:10">
      <c r="B286" s="392" t="str">
        <f>Table1[[#This Row],[Cost Center Name]]&amp;" "&amp;Table1[[#This Row],[Job Name]]&amp;" "&amp;"-"&amp;" "&amp;Table1[[#This Row],[Job Code]]</f>
        <v>SV House Business Operations CS Overhead.Management - 100073</v>
      </c>
      <c r="C286" s="392" t="s">
        <v>354</v>
      </c>
      <c r="D286" s="392" t="s">
        <v>185</v>
      </c>
      <c r="E286" s="392" t="s">
        <v>541</v>
      </c>
      <c r="F286" s="81" t="s">
        <v>550</v>
      </c>
      <c r="G286" s="81">
        <v>100073</v>
      </c>
      <c r="H286" s="392" t="s">
        <v>414</v>
      </c>
      <c r="I286" s="392" t="s">
        <v>358</v>
      </c>
      <c r="J286" s="81">
        <v>299.25</v>
      </c>
    </row>
    <row r="287" spans="2:10">
      <c r="B287" s="392" t="str">
        <f>Table1[[#This Row],[Cost Center Name]]&amp;" "&amp;Table1[[#This Row],[Job Name]]&amp;" "&amp;"-"&amp;" "&amp;Table1[[#This Row],[Job Code]]</f>
        <v>SV House Deal Architects Engagement.Architect - 100106</v>
      </c>
      <c r="C287" s="392" t="s">
        <v>354</v>
      </c>
      <c r="D287" s="392" t="s">
        <v>185</v>
      </c>
      <c r="E287" s="392" t="s">
        <v>541</v>
      </c>
      <c r="F287" s="81" t="s">
        <v>551</v>
      </c>
      <c r="G287" s="81">
        <v>100106</v>
      </c>
      <c r="H287" s="392" t="s">
        <v>552</v>
      </c>
      <c r="I287" s="392" t="s">
        <v>358</v>
      </c>
      <c r="J287" s="81">
        <v>197.83</v>
      </c>
    </row>
    <row r="288" spans="2:10">
      <c r="B288" s="392" t="str">
        <f>Table1[[#This Row],[Cost Center Name]]&amp;" "&amp;Table1[[#This Row],[Job Name]]&amp;" "&amp;"-"&amp;" "&amp;Table1[[#This Row],[Job Code]]</f>
        <v>SV House Deal Architects Services Overhead.Director - 100146</v>
      </c>
      <c r="C288" s="392" t="s">
        <v>354</v>
      </c>
      <c r="D288" s="392" t="s">
        <v>185</v>
      </c>
      <c r="E288" s="392" t="s">
        <v>541</v>
      </c>
      <c r="F288" s="81" t="s">
        <v>551</v>
      </c>
      <c r="G288" s="81">
        <v>100146</v>
      </c>
      <c r="H288" s="392" t="s">
        <v>445</v>
      </c>
      <c r="I288" s="392" t="s">
        <v>358</v>
      </c>
      <c r="J288" s="81">
        <v>273.70999999999998</v>
      </c>
    </row>
    <row r="289" spans="2:10">
      <c r="B289" s="392" t="str">
        <f>Table1[[#This Row],[Cost Center Name]]&amp;" "&amp;Table1[[#This Row],[Job Name]]&amp;" "&amp;"-"&amp;" "&amp;Table1[[#This Row],[Job Code]]</f>
        <v>SV House Deal Architects Engagement Architect - PS7141</v>
      </c>
      <c r="C289" s="392" t="s">
        <v>354</v>
      </c>
      <c r="D289" s="392" t="s">
        <v>185</v>
      </c>
      <c r="E289" s="392" t="s">
        <v>541</v>
      </c>
      <c r="F289" s="81" t="s">
        <v>551</v>
      </c>
      <c r="G289" s="81" t="s">
        <v>553</v>
      </c>
      <c r="H289" s="392" t="s">
        <v>554</v>
      </c>
      <c r="I289" s="392" t="s">
        <v>358</v>
      </c>
      <c r="J289" s="81">
        <v>197.83</v>
      </c>
    </row>
    <row r="290" spans="2:10">
      <c r="B290" s="392" t="str">
        <f>Table1[[#This Row],[Cost Center Name]]&amp;" "&amp;Table1[[#This Row],[Job Name]]&amp;" "&amp;"-"&amp;" "&amp;Table1[[#This Row],[Job Code]]</f>
        <v>SV House Overhead CS Overhead.Management - 100073</v>
      </c>
      <c r="C290" s="392" t="s">
        <v>354</v>
      </c>
      <c r="D290" s="392" t="s">
        <v>185</v>
      </c>
      <c r="E290" s="392" t="s">
        <v>541</v>
      </c>
      <c r="F290" s="81" t="s">
        <v>555</v>
      </c>
      <c r="G290" s="81">
        <v>100073</v>
      </c>
      <c r="H290" s="392" t="s">
        <v>414</v>
      </c>
      <c r="I290" s="392" t="s">
        <v>358</v>
      </c>
      <c r="J290" s="81">
        <v>299.25</v>
      </c>
    </row>
    <row r="291" spans="2:10">
      <c r="B291" s="392" t="str">
        <f>Table1[[#This Row],[Cost Center Name]]&amp;" "&amp;Table1[[#This Row],[Job Name]]&amp;" "&amp;"-"&amp;" "&amp;Table1[[#This Row],[Job Code]]</f>
        <v>SV House Overhead Services Overhead.Director - 100146</v>
      </c>
      <c r="C291" s="392" t="s">
        <v>354</v>
      </c>
      <c r="D291" s="392" t="s">
        <v>185</v>
      </c>
      <c r="E291" s="392" t="s">
        <v>541</v>
      </c>
      <c r="F291" s="81" t="s">
        <v>555</v>
      </c>
      <c r="G291" s="81">
        <v>100146</v>
      </c>
      <c r="H291" s="392" t="s">
        <v>445</v>
      </c>
      <c r="I291" s="392" t="s">
        <v>358</v>
      </c>
      <c r="J291" s="81">
        <v>227.25</v>
      </c>
    </row>
    <row r="292" spans="2:10">
      <c r="B292" s="392" t="str">
        <f>Table1[[#This Row],[Cost Center Name]]&amp;" "&amp;Table1[[#This Row],[Job Name]]&amp;" "&amp;"-"&amp;" "&amp;Table1[[#This Row],[Job Code]]</f>
        <v>SV House Overhead Services Overhead.Manager - 100148</v>
      </c>
      <c r="C292" s="392" t="s">
        <v>354</v>
      </c>
      <c r="D292" s="392" t="s">
        <v>185</v>
      </c>
      <c r="E292" s="392" t="s">
        <v>541</v>
      </c>
      <c r="F292" s="81" t="s">
        <v>555</v>
      </c>
      <c r="G292" s="81">
        <v>100148</v>
      </c>
      <c r="H292" s="392" t="s">
        <v>362</v>
      </c>
      <c r="I292" s="392" t="s">
        <v>358</v>
      </c>
      <c r="J292" s="81">
        <v>159.75</v>
      </c>
    </row>
    <row r="293" spans="2:10">
      <c r="B293" s="392" t="str">
        <f>Table1[[#This Row],[Cost Center Name]]&amp;" "&amp;Table1[[#This Row],[Job Name]]&amp;" "&amp;"-"&amp;" "&amp;Table1[[#This Row],[Job Code]]</f>
        <v>SV House Overhead Services Overhead.Staff - 100149</v>
      </c>
      <c r="C293" s="392" t="s">
        <v>354</v>
      </c>
      <c r="D293" s="392" t="s">
        <v>185</v>
      </c>
      <c r="E293" s="392" t="s">
        <v>541</v>
      </c>
      <c r="F293" s="81" t="s">
        <v>555</v>
      </c>
      <c r="G293" s="81">
        <v>100149</v>
      </c>
      <c r="H293" s="392" t="s">
        <v>363</v>
      </c>
      <c r="I293" s="392" t="s">
        <v>358</v>
      </c>
      <c r="J293" s="81">
        <v>99</v>
      </c>
    </row>
    <row r="294" spans="2:10">
      <c r="B294" s="392" t="str">
        <f>Table1[[#This Row],[Cost Center Name]]&amp;" "&amp;Table1[[#This Row],[Job Name]]&amp;" "&amp;"-"&amp;" "&amp;Table1[[#This Row],[Job Code]]</f>
        <v>SV House Product Dev Agile Delivery.QA Analyst - 100015</v>
      </c>
      <c r="C294" s="392" t="s">
        <v>354</v>
      </c>
      <c r="D294" s="392" t="s">
        <v>185</v>
      </c>
      <c r="E294" s="392" t="s">
        <v>541</v>
      </c>
      <c r="F294" s="81" t="s">
        <v>556</v>
      </c>
      <c r="G294" s="81">
        <v>100015</v>
      </c>
      <c r="H294" s="392" t="s">
        <v>372</v>
      </c>
      <c r="I294" s="392" t="s">
        <v>358</v>
      </c>
      <c r="J294" s="81">
        <v>128.25</v>
      </c>
    </row>
    <row r="295" spans="2:10">
      <c r="B295" s="392" t="str">
        <f>Table1[[#This Row],[Cost Center Name]]&amp;" "&amp;Table1[[#This Row],[Job Name]]&amp;" "&amp;"-"&amp;" "&amp;Table1[[#This Row],[Job Code]]</f>
        <v>SV House Product Dev Agile Delivery.Software Engineer - 100018</v>
      </c>
      <c r="C295" s="392" t="s">
        <v>354</v>
      </c>
      <c r="D295" s="392" t="s">
        <v>185</v>
      </c>
      <c r="E295" s="392" t="s">
        <v>541</v>
      </c>
      <c r="F295" s="81" t="s">
        <v>556</v>
      </c>
      <c r="G295" s="81">
        <v>100018</v>
      </c>
      <c r="H295" s="392" t="s">
        <v>374</v>
      </c>
      <c r="I295" s="392" t="s">
        <v>358</v>
      </c>
      <c r="J295" s="81">
        <v>155.25</v>
      </c>
    </row>
    <row r="296" spans="2:10">
      <c r="B296" s="392" t="str">
        <f>Table1[[#This Row],[Cost Center Name]]&amp;" "&amp;Table1[[#This Row],[Job Name]]&amp;" "&amp;"-"&amp;" "&amp;Table1[[#This Row],[Job Code]]</f>
        <v>SV House Product Dev Consulting.Delivery Engineer - 100062</v>
      </c>
      <c r="C296" s="392" t="s">
        <v>354</v>
      </c>
      <c r="D296" s="392" t="s">
        <v>185</v>
      </c>
      <c r="E296" s="392" t="s">
        <v>541</v>
      </c>
      <c r="F296" s="81" t="s">
        <v>556</v>
      </c>
      <c r="G296" s="81">
        <v>100062</v>
      </c>
      <c r="H296" s="392" t="s">
        <v>376</v>
      </c>
      <c r="I296" s="392" t="s">
        <v>358</v>
      </c>
      <c r="J296" s="81">
        <v>157.5</v>
      </c>
    </row>
    <row r="297" spans="2:10">
      <c r="B297" s="392" t="str">
        <f>Table1[[#This Row],[Cost Center Name]]&amp;" "&amp;Table1[[#This Row],[Job Name]]&amp;" "&amp;"-"&amp;" "&amp;Table1[[#This Row],[Job Code]]</f>
        <v>SV House R&amp;D Agile Delivery.QA Analyst - 100015</v>
      </c>
      <c r="C297" s="392" t="s">
        <v>354</v>
      </c>
      <c r="D297" s="392" t="s">
        <v>185</v>
      </c>
      <c r="E297" s="392" t="s">
        <v>541</v>
      </c>
      <c r="F297" s="81" t="s">
        <v>557</v>
      </c>
      <c r="G297" s="81">
        <v>100015</v>
      </c>
      <c r="H297" s="392" t="s">
        <v>372</v>
      </c>
      <c r="I297" s="392" t="s">
        <v>358</v>
      </c>
      <c r="J297" s="81">
        <v>128.25</v>
      </c>
    </row>
    <row r="298" spans="2:10">
      <c r="B298" s="392" t="str">
        <f>Table1[[#This Row],[Cost Center Name]]&amp;" "&amp;Table1[[#This Row],[Job Name]]&amp;" "&amp;"-"&amp;" "&amp;Table1[[#This Row],[Job Code]]</f>
        <v>SV House R&amp;D Agile Delivery.QA Engineer - 100016</v>
      </c>
      <c r="C298" s="392" t="s">
        <v>354</v>
      </c>
      <c r="D298" s="392" t="s">
        <v>185</v>
      </c>
      <c r="E298" s="392" t="s">
        <v>541</v>
      </c>
      <c r="F298" s="81" t="s">
        <v>557</v>
      </c>
      <c r="G298" s="81">
        <v>100016</v>
      </c>
      <c r="H298" s="392" t="s">
        <v>373</v>
      </c>
      <c r="I298" s="392" t="s">
        <v>358</v>
      </c>
      <c r="J298" s="81">
        <v>126</v>
      </c>
    </row>
    <row r="299" spans="2:10">
      <c r="B299" s="392" t="str">
        <f>Table1[[#This Row],[Cost Center Name]]&amp;" "&amp;Table1[[#This Row],[Job Name]]&amp;" "&amp;"-"&amp;" "&amp;Table1[[#This Row],[Job Code]]</f>
        <v>SV House R&amp;D Agile Delivery.Software Engineer - 100018</v>
      </c>
      <c r="C299" s="392" t="s">
        <v>354</v>
      </c>
      <c r="D299" s="392" t="s">
        <v>185</v>
      </c>
      <c r="E299" s="392" t="s">
        <v>541</v>
      </c>
      <c r="F299" s="81" t="s">
        <v>557</v>
      </c>
      <c r="G299" s="81">
        <v>100018</v>
      </c>
      <c r="H299" s="392" t="s">
        <v>374</v>
      </c>
      <c r="I299" s="392" t="s">
        <v>358</v>
      </c>
      <c r="J299" s="81">
        <v>155.25</v>
      </c>
    </row>
    <row r="300" spans="2:10">
      <c r="B300" s="392" t="str">
        <f>Table1[[#This Row],[Cost Center Name]]&amp;" "&amp;Table1[[#This Row],[Job Name]]&amp;" "&amp;"-"&amp;" "&amp;Table1[[#This Row],[Job Code]]</f>
        <v>SV House R&amp;D Agile Delivery.UX Consultant - 100020</v>
      </c>
      <c r="C300" s="392" t="s">
        <v>354</v>
      </c>
      <c r="D300" s="392" t="s">
        <v>185</v>
      </c>
      <c r="E300" s="392" t="s">
        <v>541</v>
      </c>
      <c r="F300" s="81" t="s">
        <v>557</v>
      </c>
      <c r="G300" s="81">
        <v>100020</v>
      </c>
      <c r="H300" s="392" t="s">
        <v>438</v>
      </c>
      <c r="I300" s="392" t="s">
        <v>358</v>
      </c>
      <c r="J300" s="81">
        <v>182.25</v>
      </c>
    </row>
    <row r="301" spans="2:10">
      <c r="B301" s="392" t="str">
        <f>Table1[[#This Row],[Cost Center Name]]&amp;" "&amp;Table1[[#This Row],[Job Name]]&amp;" "&amp;"-"&amp;" "&amp;Table1[[#This Row],[Job Code]]</f>
        <v>SV House R&amp;D BAA.Analyst - 100030</v>
      </c>
      <c r="C301" s="392" t="s">
        <v>354</v>
      </c>
      <c r="D301" s="392" t="s">
        <v>185</v>
      </c>
      <c r="E301" s="392" t="s">
        <v>541</v>
      </c>
      <c r="F301" s="81" t="s">
        <v>557</v>
      </c>
      <c r="G301" s="81">
        <v>100030</v>
      </c>
      <c r="H301" s="392" t="s">
        <v>404</v>
      </c>
      <c r="I301" s="392" t="s">
        <v>358</v>
      </c>
      <c r="J301" s="81">
        <v>112.5</v>
      </c>
    </row>
    <row r="302" spans="2:10">
      <c r="B302" s="392" t="str">
        <f>Table1[[#This Row],[Cost Center Name]]&amp;" "&amp;Table1[[#This Row],[Job Name]]&amp;" "&amp;"-"&amp;" "&amp;Table1[[#This Row],[Job Code]]</f>
        <v>SV House R&amp;D BAA.Consultant - 100031</v>
      </c>
      <c r="C302" s="392" t="s">
        <v>354</v>
      </c>
      <c r="D302" s="392" t="s">
        <v>185</v>
      </c>
      <c r="E302" s="392" t="s">
        <v>541</v>
      </c>
      <c r="F302" s="81" t="s">
        <v>557</v>
      </c>
      <c r="G302" s="81">
        <v>100031</v>
      </c>
      <c r="H302" s="392" t="s">
        <v>405</v>
      </c>
      <c r="I302" s="392" t="s">
        <v>358</v>
      </c>
      <c r="J302" s="81">
        <v>150.75</v>
      </c>
    </row>
    <row r="303" spans="2:10">
      <c r="B303" s="392" t="str">
        <f>Table1[[#This Row],[Cost Center Name]]&amp;" "&amp;Table1[[#This Row],[Job Name]]&amp;" "&amp;"-"&amp;" "&amp;Table1[[#This Row],[Job Code]]</f>
        <v>SV House R&amp;D BAA.Data Scientist - 100032</v>
      </c>
      <c r="C303" s="392" t="s">
        <v>354</v>
      </c>
      <c r="D303" s="392" t="s">
        <v>185</v>
      </c>
      <c r="E303" s="392" t="s">
        <v>541</v>
      </c>
      <c r="F303" s="81" t="s">
        <v>557</v>
      </c>
      <c r="G303" s="81">
        <v>100032</v>
      </c>
      <c r="H303" s="392" t="s">
        <v>409</v>
      </c>
      <c r="I303" s="392" t="s">
        <v>358</v>
      </c>
      <c r="J303" s="81">
        <v>144</v>
      </c>
    </row>
    <row r="304" spans="2:10">
      <c r="B304" s="392" t="str">
        <f>Table1[[#This Row],[Cost Center Name]]&amp;" "&amp;Table1[[#This Row],[Job Name]]&amp;" "&amp;"-"&amp;" "&amp;Table1[[#This Row],[Job Code]]</f>
        <v>SV House R&amp;D BAA.Engineer - 100034</v>
      </c>
      <c r="C304" s="392" t="s">
        <v>354</v>
      </c>
      <c r="D304" s="392" t="s">
        <v>185</v>
      </c>
      <c r="E304" s="392" t="s">
        <v>541</v>
      </c>
      <c r="F304" s="81" t="s">
        <v>557</v>
      </c>
      <c r="G304" s="81">
        <v>100034</v>
      </c>
      <c r="H304" s="392" t="s">
        <v>416</v>
      </c>
      <c r="I304" s="392" t="s">
        <v>358</v>
      </c>
      <c r="J304" s="81">
        <v>168.75</v>
      </c>
    </row>
    <row r="305" spans="2:10">
      <c r="B305" s="392" t="str">
        <f>Table1[[#This Row],[Cost Center Name]]&amp;" "&amp;Table1[[#This Row],[Job Name]]&amp;" "&amp;"-"&amp;" "&amp;Table1[[#This Row],[Job Code]]</f>
        <v>SV House R&amp;D Consulting.Software Engineer - 100069</v>
      </c>
      <c r="C305" s="392" t="s">
        <v>354</v>
      </c>
      <c r="D305" s="392" t="s">
        <v>185</v>
      </c>
      <c r="E305" s="392" t="s">
        <v>541</v>
      </c>
      <c r="F305" s="81" t="s">
        <v>557</v>
      </c>
      <c r="G305" s="81">
        <v>100069</v>
      </c>
      <c r="H305" s="392" t="s">
        <v>558</v>
      </c>
      <c r="I305" s="392" t="s">
        <v>358</v>
      </c>
      <c r="J305" s="81">
        <v>153</v>
      </c>
    </row>
    <row r="306" spans="2:10">
      <c r="B306" s="392" t="str">
        <f>Table1[[#This Row],[Cost Center Name]]&amp;" "&amp;Table1[[#This Row],[Job Name]]&amp;" "&amp;"-"&amp;" "&amp;Table1[[#This Row],[Job Code]]</f>
        <v>SV House R&amp;D Services Overhead.Manager - 100148</v>
      </c>
      <c r="C306" s="392" t="s">
        <v>354</v>
      </c>
      <c r="D306" s="392" t="s">
        <v>185</v>
      </c>
      <c r="E306" s="392" t="s">
        <v>541</v>
      </c>
      <c r="F306" s="81" t="s">
        <v>557</v>
      </c>
      <c r="G306" s="81">
        <v>100148</v>
      </c>
      <c r="H306" s="392" t="s">
        <v>362</v>
      </c>
      <c r="I306" s="392" t="s">
        <v>358</v>
      </c>
      <c r="J306" s="81">
        <v>159.75</v>
      </c>
    </row>
    <row r="307" spans="2:10">
      <c r="B307" s="392" t="str">
        <f>Table1[[#This Row],[Cost Center Name]]&amp;" "&amp;Table1[[#This Row],[Job Name]]&amp;" "&amp;"-"&amp;" "&amp;Table1[[#This Row],[Job Code]]</f>
        <v>SV House R&amp;D SDN.Architect - 100154</v>
      </c>
      <c r="C307" s="392" t="s">
        <v>354</v>
      </c>
      <c r="D307" s="392" t="s">
        <v>185</v>
      </c>
      <c r="E307" s="392" t="s">
        <v>541</v>
      </c>
      <c r="F307" s="81" t="s">
        <v>557</v>
      </c>
      <c r="G307" s="81">
        <v>100154</v>
      </c>
      <c r="H307" s="392" t="s">
        <v>489</v>
      </c>
      <c r="I307" s="392" t="s">
        <v>358</v>
      </c>
      <c r="J307" s="81">
        <v>182.25</v>
      </c>
    </row>
    <row r="308" spans="2:10">
      <c r="B308" s="392" t="str">
        <f>Table1[[#This Row],[Cost Center Name]]&amp;" "&amp;Table1[[#This Row],[Job Name]]&amp;" "&amp;"-"&amp;" "&amp;Table1[[#This Row],[Job Code]]</f>
        <v>SV House Svcs SI&amp;O Services Overhead.Director - 100146</v>
      </c>
      <c r="C308" s="392" t="s">
        <v>354</v>
      </c>
      <c r="D308" s="392" t="s">
        <v>185</v>
      </c>
      <c r="E308" s="392" t="s">
        <v>541</v>
      </c>
      <c r="F308" s="81" t="s">
        <v>559</v>
      </c>
      <c r="G308" s="81">
        <v>100146</v>
      </c>
      <c r="H308" s="392" t="s">
        <v>445</v>
      </c>
      <c r="I308" s="392" t="s">
        <v>358</v>
      </c>
      <c r="J308" s="81">
        <v>227.25</v>
      </c>
    </row>
    <row r="309" spans="2:10">
      <c r="B309" s="392" t="str">
        <f>Table1[[#This Row],[Cost Center Name]]&amp;" "&amp;Table1[[#This Row],[Job Name]]&amp;" "&amp;"-"&amp;" "&amp;Table1[[#This Row],[Job Code]]</f>
        <v>SV House Svcs SI&amp;O Services Overhead.Manager - 100148</v>
      </c>
      <c r="C309" s="392" t="s">
        <v>354</v>
      </c>
      <c r="D309" s="392" t="s">
        <v>185</v>
      </c>
      <c r="E309" s="392" t="s">
        <v>541</v>
      </c>
      <c r="F309" s="81" t="s">
        <v>559</v>
      </c>
      <c r="G309" s="81">
        <v>100148</v>
      </c>
      <c r="H309" s="392" t="s">
        <v>362</v>
      </c>
      <c r="I309" s="392" t="s">
        <v>358</v>
      </c>
      <c r="J309" s="81">
        <v>159.75</v>
      </c>
    </row>
    <row r="310" spans="2:10">
      <c r="B310" s="392" t="str">
        <f>Table1[[#This Row],[Cost Center Name]]&amp;" "&amp;Table1[[#This Row],[Job Name]]&amp;" "&amp;"-"&amp;" "&amp;Table1[[#This Row],[Job Code]]</f>
        <v>SV House Svcs SI&amp;O Services Overhead.Staff - 100149</v>
      </c>
      <c r="C310" s="392" t="s">
        <v>354</v>
      </c>
      <c r="D310" s="392" t="s">
        <v>185</v>
      </c>
      <c r="E310" s="392" t="s">
        <v>541</v>
      </c>
      <c r="F310" s="81" t="s">
        <v>559</v>
      </c>
      <c r="G310" s="81">
        <v>100149</v>
      </c>
      <c r="H310" s="392" t="s">
        <v>363</v>
      </c>
      <c r="I310" s="392" t="s">
        <v>358</v>
      </c>
      <c r="J310" s="81">
        <v>99</v>
      </c>
    </row>
    <row r="311" spans="2:10">
      <c r="B311" s="392" t="str">
        <f>Table1[[#This Row],[Cost Center Name]]&amp;" "&amp;Table1[[#This Row],[Job Name]]&amp;" "&amp;"-"&amp;" "&amp;Table1[[#This Row],[Job Code]]</f>
        <v>SV House Svcs SI&amp;O Services Overhead.Data Analyst - 100211</v>
      </c>
      <c r="C311" s="392" t="s">
        <v>354</v>
      </c>
      <c r="D311" s="392" t="s">
        <v>185</v>
      </c>
      <c r="E311" s="392" t="s">
        <v>541</v>
      </c>
      <c r="F311" s="81" t="s">
        <v>559</v>
      </c>
      <c r="G311" s="81">
        <v>100211</v>
      </c>
      <c r="H311" s="392" t="s">
        <v>560</v>
      </c>
      <c r="I311" s="392" t="s">
        <v>358</v>
      </c>
      <c r="J311" s="81">
        <v>81</v>
      </c>
    </row>
    <row r="312" spans="2:10">
      <c r="B312" s="392" t="str">
        <f>Table1[[#This Row],[Cost Center Name]]&amp;" "&amp;Table1[[#This Row],[Job Name]]&amp;" "&amp;"-"&amp;" "&amp;Table1[[#This Row],[Job Code]]</f>
        <v>SR AS Billable Agile Delivery.Software Engineer - 100018</v>
      </c>
      <c r="C312" s="392" t="s">
        <v>354</v>
      </c>
      <c r="D312" s="392" t="s">
        <v>185</v>
      </c>
      <c r="E312" s="392" t="s">
        <v>561</v>
      </c>
      <c r="F312" s="81" t="s">
        <v>562</v>
      </c>
      <c r="G312" s="81">
        <v>100018</v>
      </c>
      <c r="H312" s="392" t="s">
        <v>374</v>
      </c>
      <c r="I312" s="392" t="s">
        <v>358</v>
      </c>
      <c r="J312" s="81">
        <v>105.57</v>
      </c>
    </row>
    <row r="313" spans="2:10">
      <c r="B313" s="392" t="str">
        <f>Table1[[#This Row],[Cost Center Name]]&amp;" "&amp;Table1[[#This Row],[Job Name]]&amp;" "&amp;"-"&amp;" "&amp;Table1[[#This Row],[Job Code]]</f>
        <v>SR AS Billable Consulting.Agile Consultant - 100061</v>
      </c>
      <c r="C313" s="392" t="s">
        <v>354</v>
      </c>
      <c r="D313" s="392" t="s">
        <v>185</v>
      </c>
      <c r="E313" s="392" t="s">
        <v>561</v>
      </c>
      <c r="F313" s="81" t="s">
        <v>562</v>
      </c>
      <c r="G313" s="81">
        <v>100061</v>
      </c>
      <c r="H313" s="392" t="s">
        <v>381</v>
      </c>
      <c r="I313" s="392" t="s">
        <v>358</v>
      </c>
      <c r="J313" s="81">
        <v>148.41</v>
      </c>
    </row>
    <row r="314" spans="2:10">
      <c r="B314" s="392" t="str">
        <f>Table1[[#This Row],[Cost Center Name]]&amp;" "&amp;Table1[[#This Row],[Job Name]]&amp;" "&amp;"-"&amp;" "&amp;Table1[[#This Row],[Job Code]]</f>
        <v>SR IS Engineering Data Center.Engineer - 100081</v>
      </c>
      <c r="C314" s="392" t="s">
        <v>354</v>
      </c>
      <c r="D314" s="392" t="s">
        <v>185</v>
      </c>
      <c r="E314" s="392" t="s">
        <v>561</v>
      </c>
      <c r="F314" s="81" t="s">
        <v>563</v>
      </c>
      <c r="G314" s="81">
        <v>100081</v>
      </c>
      <c r="H314" s="392" t="s">
        <v>488</v>
      </c>
      <c r="I314" s="392" t="s">
        <v>358</v>
      </c>
      <c r="J314" s="81">
        <v>92.4</v>
      </c>
    </row>
    <row r="315" spans="2:10">
      <c r="B315" s="392" t="str">
        <f>Table1[[#This Row],[Cost Center Name]]&amp;" "&amp;Table1[[#This Row],[Job Name]]&amp;" "&amp;"-"&amp;" "&amp;Table1[[#This Row],[Job Code]]</f>
        <v>SR IS Engineering Data Center.Sr Engineer - 100082</v>
      </c>
      <c r="C315" s="392" t="s">
        <v>354</v>
      </c>
      <c r="D315" s="392" t="s">
        <v>185</v>
      </c>
      <c r="E315" s="392" t="s">
        <v>561</v>
      </c>
      <c r="F315" s="81" t="s">
        <v>563</v>
      </c>
      <c r="G315" s="81">
        <v>100082</v>
      </c>
      <c r="H315" s="392" t="s">
        <v>474</v>
      </c>
      <c r="I315" s="392" t="s">
        <v>358</v>
      </c>
      <c r="J315" s="81">
        <v>127.68</v>
      </c>
    </row>
    <row r="316" spans="2:10">
      <c r="B316" s="392" t="str">
        <f>Table1[[#This Row],[Cost Center Name]]&amp;" "&amp;Table1[[#This Row],[Job Name]]&amp;" "&amp;"-"&amp;" "&amp;Table1[[#This Row],[Job Code]]</f>
        <v>SR IS Engineering Project Management.PM - 100139</v>
      </c>
      <c r="C316" s="392" t="s">
        <v>354</v>
      </c>
      <c r="D316" s="392" t="s">
        <v>185</v>
      </c>
      <c r="E316" s="392" t="s">
        <v>561</v>
      </c>
      <c r="F316" s="81" t="s">
        <v>563</v>
      </c>
      <c r="G316" s="81">
        <v>100139</v>
      </c>
      <c r="H316" s="392" t="s">
        <v>313</v>
      </c>
      <c r="I316" s="392" t="s">
        <v>358</v>
      </c>
      <c r="J316" s="81">
        <v>77.28</v>
      </c>
    </row>
    <row r="317" spans="2:10">
      <c r="B317" s="392" t="str">
        <f>Table1[[#This Row],[Cost Center Name]]&amp;" "&amp;Table1[[#This Row],[Job Name]]&amp;" "&amp;"-"&amp;" "&amp;Table1[[#This Row],[Job Code]]</f>
        <v>SR IS Engineering R&amp;S.Architect - 100151</v>
      </c>
      <c r="C317" s="392" t="s">
        <v>354</v>
      </c>
      <c r="D317" s="392" t="s">
        <v>185</v>
      </c>
      <c r="E317" s="392" t="s">
        <v>561</v>
      </c>
      <c r="F317" s="81" t="s">
        <v>563</v>
      </c>
      <c r="G317" s="81">
        <v>100151</v>
      </c>
      <c r="H317" s="392" t="s">
        <v>470</v>
      </c>
      <c r="I317" s="392" t="s">
        <v>358</v>
      </c>
      <c r="J317" s="81">
        <v>146.16</v>
      </c>
    </row>
    <row r="318" spans="2:10">
      <c r="B318" s="392" t="str">
        <f>Table1[[#This Row],[Cost Center Name]]&amp;" "&amp;Table1[[#This Row],[Job Name]]&amp;" "&amp;"-"&amp;" "&amp;Table1[[#This Row],[Job Code]]</f>
        <v>SR IS Engineering R&amp;S.Engineer - 100152</v>
      </c>
      <c r="C318" s="392" t="s">
        <v>354</v>
      </c>
      <c r="D318" s="392" t="s">
        <v>185</v>
      </c>
      <c r="E318" s="392" t="s">
        <v>561</v>
      </c>
      <c r="F318" s="81" t="s">
        <v>563</v>
      </c>
      <c r="G318" s="81">
        <v>100152</v>
      </c>
      <c r="H318" s="392" t="s">
        <v>476</v>
      </c>
      <c r="I318" s="392" t="s">
        <v>358</v>
      </c>
      <c r="J318" s="81">
        <v>97.44</v>
      </c>
    </row>
    <row r="319" spans="2:10">
      <c r="B319" s="392" t="str">
        <f>Table1[[#This Row],[Cost Center Name]]&amp;" "&amp;Table1[[#This Row],[Job Name]]&amp;" "&amp;"-"&amp;" "&amp;Table1[[#This Row],[Job Code]]</f>
        <v>SR IS Engineering R&amp;S.Sr Engineer - 100153</v>
      </c>
      <c r="C319" s="392" t="s">
        <v>354</v>
      </c>
      <c r="D319" s="392" t="s">
        <v>185</v>
      </c>
      <c r="E319" s="392" t="s">
        <v>561</v>
      </c>
      <c r="F319" s="81" t="s">
        <v>563</v>
      </c>
      <c r="G319" s="81">
        <v>100153</v>
      </c>
      <c r="H319" s="392" t="s">
        <v>461</v>
      </c>
      <c r="I319" s="392" t="s">
        <v>358</v>
      </c>
      <c r="J319" s="81">
        <v>134.4</v>
      </c>
    </row>
    <row r="320" spans="2:10">
      <c r="B320" s="392" t="str">
        <f>Table1[[#This Row],[Cost Center Name]]&amp;" "&amp;Table1[[#This Row],[Job Name]]&amp;" "&amp;"-"&amp;" "&amp;Table1[[#This Row],[Job Code]]</f>
        <v>SR IS Engineering Support.Engineer - 100168</v>
      </c>
      <c r="C320" s="392" t="s">
        <v>354</v>
      </c>
      <c r="D320" s="392" t="s">
        <v>185</v>
      </c>
      <c r="E320" s="392" t="s">
        <v>561</v>
      </c>
      <c r="F320" s="81" t="s">
        <v>563</v>
      </c>
      <c r="G320" s="81">
        <v>100168</v>
      </c>
      <c r="H320" s="392" t="s">
        <v>499</v>
      </c>
      <c r="I320" s="392" t="s">
        <v>358</v>
      </c>
      <c r="J320" s="81">
        <v>70.56</v>
      </c>
    </row>
    <row r="321" spans="2:10">
      <c r="B321" s="392" t="str">
        <f>Table1[[#This Row],[Cost Center Name]]&amp;" "&amp;Table1[[#This Row],[Job Name]]&amp;" "&amp;"-"&amp;" "&amp;Table1[[#This Row],[Job Code]]</f>
        <v>SR IS Engineering Voice.Engineer - 100177</v>
      </c>
      <c r="C321" s="392" t="s">
        <v>354</v>
      </c>
      <c r="D321" s="392" t="s">
        <v>185</v>
      </c>
      <c r="E321" s="392" t="s">
        <v>561</v>
      </c>
      <c r="F321" s="81" t="s">
        <v>563</v>
      </c>
      <c r="G321" s="81">
        <v>100177</v>
      </c>
      <c r="H321" s="392" t="s">
        <v>478</v>
      </c>
      <c r="I321" s="392" t="s">
        <v>358</v>
      </c>
      <c r="J321" s="81">
        <v>105.84</v>
      </c>
    </row>
    <row r="322" spans="2:10">
      <c r="B322" s="392" t="str">
        <f>Table1[[#This Row],[Cost Center Name]]&amp;" "&amp;Table1[[#This Row],[Job Name]]&amp;" "&amp;"-"&amp;" "&amp;Table1[[#This Row],[Job Code]]</f>
        <v>SR IS Engineering Voice.Sr Engineer UCCE - 100179</v>
      </c>
      <c r="C322" s="392" t="s">
        <v>354</v>
      </c>
      <c r="D322" s="392" t="s">
        <v>185</v>
      </c>
      <c r="E322" s="392" t="s">
        <v>561</v>
      </c>
      <c r="F322" s="81" t="s">
        <v>563</v>
      </c>
      <c r="G322" s="81">
        <v>100179</v>
      </c>
      <c r="H322" s="392" t="s">
        <v>480</v>
      </c>
      <c r="I322" s="392" t="s">
        <v>358</v>
      </c>
      <c r="J322" s="81">
        <v>149.52000000000001</v>
      </c>
    </row>
    <row r="323" spans="2:10">
      <c r="B323" s="392" t="str">
        <f>Table1[[#This Row],[Cost Center Name]]&amp;" "&amp;Table1[[#This Row],[Job Name]]&amp;" "&amp;"-"&amp;" "&amp;Table1[[#This Row],[Job Code]]</f>
        <v>SR IS Engineering Wireless.Sr Engineer - 100182</v>
      </c>
      <c r="C323" s="392" t="s">
        <v>354</v>
      </c>
      <c r="D323" s="392" t="s">
        <v>185</v>
      </c>
      <c r="E323" s="392" t="s">
        <v>561</v>
      </c>
      <c r="F323" s="81" t="s">
        <v>563</v>
      </c>
      <c r="G323" s="81">
        <v>100182</v>
      </c>
      <c r="H323" s="392" t="s">
        <v>481</v>
      </c>
      <c r="I323" s="392" t="s">
        <v>358</v>
      </c>
      <c r="J323" s="81">
        <v>119.28</v>
      </c>
    </row>
    <row r="324" spans="2:10">
      <c r="B324" s="392" t="str">
        <f>Table1[[#This Row],[Cost Center Name]]&amp;" "&amp;Table1[[#This Row],[Job Name]]&amp;" "&amp;"-"&amp;" "&amp;Table1[[#This Row],[Job Code]]</f>
        <v>SR IS Kaiser Prgm R&amp;S.Engineer - 100152</v>
      </c>
      <c r="C324" s="392" t="s">
        <v>354</v>
      </c>
      <c r="D324" s="392" t="s">
        <v>185</v>
      </c>
      <c r="E324" s="392" t="s">
        <v>561</v>
      </c>
      <c r="F324" s="81" t="s">
        <v>564</v>
      </c>
      <c r="G324" s="81">
        <v>100152</v>
      </c>
      <c r="H324" s="392" t="s">
        <v>476</v>
      </c>
      <c r="I324" s="392" t="s">
        <v>358</v>
      </c>
      <c r="J324" s="81">
        <v>99.76</v>
      </c>
    </row>
    <row r="325" spans="2:10">
      <c r="B325" s="392" t="str">
        <f>Table1[[#This Row],[Cost Center Name]]&amp;" "&amp;Table1[[#This Row],[Job Name]]&amp;" "&amp;"-"&amp;" "&amp;Table1[[#This Row],[Job Code]]</f>
        <v>SR IS PG&amp;E Prgm Project Management.Proj Coor - 100140</v>
      </c>
      <c r="C325" s="392" t="s">
        <v>354</v>
      </c>
      <c r="D325" s="392" t="s">
        <v>185</v>
      </c>
      <c r="E325" s="392" t="s">
        <v>561</v>
      </c>
      <c r="F325" s="81" t="s">
        <v>565</v>
      </c>
      <c r="G325" s="81">
        <v>100140</v>
      </c>
      <c r="H325" s="392" t="s">
        <v>311</v>
      </c>
      <c r="I325" s="392" t="s">
        <v>358</v>
      </c>
      <c r="J325" s="81">
        <v>52.48</v>
      </c>
    </row>
    <row r="326" spans="2:10">
      <c r="B326" s="392" t="str">
        <f>Table1[[#This Row],[Cost Center Name]]&amp;" "&amp;Table1[[#This Row],[Job Name]]&amp;" "&amp;"-"&amp;" "&amp;Table1[[#This Row],[Job Code]]</f>
        <v>SR IS PG&amp;E Prgm Project Management.Sr PM - 100142</v>
      </c>
      <c r="C326" s="392" t="s">
        <v>354</v>
      </c>
      <c r="D326" s="392" t="s">
        <v>185</v>
      </c>
      <c r="E326" s="392" t="s">
        <v>561</v>
      </c>
      <c r="F326" s="81" t="s">
        <v>565</v>
      </c>
      <c r="G326" s="81">
        <v>100142</v>
      </c>
      <c r="H326" s="392" t="s">
        <v>305</v>
      </c>
      <c r="I326" s="392" t="s">
        <v>358</v>
      </c>
      <c r="J326" s="81">
        <v>106.6</v>
      </c>
    </row>
    <row r="327" spans="2:10">
      <c r="B327" s="392" t="str">
        <f>Table1[[#This Row],[Cost Center Name]]&amp;" "&amp;Table1[[#This Row],[Job Name]]&amp;" "&amp;"-"&amp;" "&amp;Table1[[#This Row],[Job Code]]</f>
        <v>SR IS State Farm Prgm Voice.Engineer - 100177</v>
      </c>
      <c r="C327" s="392" t="s">
        <v>354</v>
      </c>
      <c r="D327" s="392" t="s">
        <v>185</v>
      </c>
      <c r="E327" s="392" t="s">
        <v>561</v>
      </c>
      <c r="F327" s="81" t="s">
        <v>566</v>
      </c>
      <c r="G327" s="81">
        <v>100177</v>
      </c>
      <c r="H327" s="392" t="s">
        <v>478</v>
      </c>
      <c r="I327" s="392" t="s">
        <v>358</v>
      </c>
      <c r="J327" s="81">
        <v>102.69</v>
      </c>
    </row>
    <row r="328" spans="2:10">
      <c r="B328" s="392" t="str">
        <f>Table1[[#This Row],[Cost Center Name]]&amp;" "&amp;Table1[[#This Row],[Job Name]]&amp;" "&amp;"-"&amp;" "&amp;Table1[[#This Row],[Job Code]]</f>
        <v>SR IS WWT FTC Project Management.Proj Coor FTC - 100141</v>
      </c>
      <c r="C328" s="392" t="s">
        <v>354</v>
      </c>
      <c r="D328" s="392" t="s">
        <v>185</v>
      </c>
      <c r="E328" s="392" t="s">
        <v>561</v>
      </c>
      <c r="F328" s="81" t="s">
        <v>567</v>
      </c>
      <c r="G328" s="81">
        <v>100141</v>
      </c>
      <c r="H328" s="392" t="s">
        <v>568</v>
      </c>
      <c r="I328" s="392" t="s">
        <v>358</v>
      </c>
      <c r="J328" s="81">
        <v>56.55</v>
      </c>
    </row>
    <row r="329" spans="2:10">
      <c r="B329" s="392" t="str">
        <f>Table1[[#This Row],[Cost Center Name]]&amp;" "&amp;Table1[[#This Row],[Job Name]]&amp;" "&amp;"-"&amp;" "&amp;Table1[[#This Row],[Job Code]]</f>
        <v>SR IS WWT FTC Project Management.Sr PM FTC - 100143</v>
      </c>
      <c r="C329" s="392" t="s">
        <v>354</v>
      </c>
      <c r="D329" s="392" t="s">
        <v>185</v>
      </c>
      <c r="E329" s="392" t="s">
        <v>561</v>
      </c>
      <c r="F329" s="81" t="s">
        <v>567</v>
      </c>
      <c r="G329" s="81">
        <v>100143</v>
      </c>
      <c r="H329" s="392" t="s">
        <v>569</v>
      </c>
      <c r="I329" s="392" t="s">
        <v>358</v>
      </c>
      <c r="J329" s="81">
        <v>110.2</v>
      </c>
    </row>
    <row r="330" spans="2:10">
      <c r="B330" s="392" t="str">
        <f>Table1[[#This Row],[Cost Center Name]]&amp;" "&amp;Table1[[#This Row],[Job Name]]&amp;" "&amp;"-"&amp;" "&amp;Table1[[#This Row],[Job Code]]</f>
        <v>SR IS WWT FTC Project Management.Sr PM FTC 2 - 100144</v>
      </c>
      <c r="C330" s="392" t="s">
        <v>354</v>
      </c>
      <c r="D330" s="392" t="s">
        <v>185</v>
      </c>
      <c r="E330" s="392" t="s">
        <v>561</v>
      </c>
      <c r="F330" s="81" t="s">
        <v>567</v>
      </c>
      <c r="G330" s="81">
        <v>100144</v>
      </c>
      <c r="H330" s="392" t="s">
        <v>570</v>
      </c>
      <c r="I330" s="392" t="s">
        <v>358</v>
      </c>
      <c r="J330" s="81">
        <v>149.35</v>
      </c>
    </row>
    <row r="331" spans="2:10">
      <c r="B331" s="392" t="str">
        <f>Table1[[#This Row],[Cost Center Name]]&amp;" "&amp;Table1[[#This Row],[Job Name]]&amp;" "&amp;"-"&amp;" "&amp;Table1[[#This Row],[Job Code]]</f>
        <v>SR IS WWT FTC Storage.Analyst FTC - 100166</v>
      </c>
      <c r="C331" s="392" t="s">
        <v>354</v>
      </c>
      <c r="D331" s="392" t="s">
        <v>185</v>
      </c>
      <c r="E331" s="392" t="s">
        <v>561</v>
      </c>
      <c r="F331" s="81" t="s">
        <v>567</v>
      </c>
      <c r="G331" s="81">
        <v>100166</v>
      </c>
      <c r="H331" s="392" t="s">
        <v>571</v>
      </c>
      <c r="I331" s="392" t="s">
        <v>358</v>
      </c>
      <c r="J331" s="81">
        <v>52.2</v>
      </c>
    </row>
    <row r="332" spans="2:10">
      <c r="B332" s="392" t="str">
        <f>Table1[[#This Row],[Cost Center Name]]&amp;" "&amp;Table1[[#This Row],[Job Name]]&amp;" "&amp;"-"&amp;" "&amp;Table1[[#This Row],[Job Code]]</f>
        <v>SR IS WWT FTC Support.Technician FTC 1 - 100173</v>
      </c>
      <c r="C332" s="392" t="s">
        <v>354</v>
      </c>
      <c r="D332" s="392" t="s">
        <v>185</v>
      </c>
      <c r="E332" s="392" t="s">
        <v>561</v>
      </c>
      <c r="F332" s="81" t="s">
        <v>567</v>
      </c>
      <c r="G332" s="81">
        <v>100173</v>
      </c>
      <c r="H332" s="392" t="s">
        <v>572</v>
      </c>
      <c r="I332" s="392" t="s">
        <v>358</v>
      </c>
      <c r="J332" s="81">
        <v>47.85</v>
      </c>
    </row>
    <row r="333" spans="2:10">
      <c r="B333" s="392" t="str">
        <f>Table1[[#This Row],[Cost Center Name]]&amp;" "&amp;Table1[[#This Row],[Job Name]]&amp;" "&amp;"-"&amp;" "&amp;Table1[[#This Row],[Job Code]]</f>
        <v>SR IS WWT FTC R&amp;S.Engineer FTC 1 - 100195</v>
      </c>
      <c r="C333" s="392" t="s">
        <v>354</v>
      </c>
      <c r="D333" s="392" t="s">
        <v>185</v>
      </c>
      <c r="E333" s="392" t="s">
        <v>561</v>
      </c>
      <c r="F333" s="81" t="s">
        <v>567</v>
      </c>
      <c r="G333" s="81">
        <v>100195</v>
      </c>
      <c r="H333" s="392" t="s">
        <v>573</v>
      </c>
      <c r="I333" s="392" t="s">
        <v>358</v>
      </c>
      <c r="J333" s="81">
        <v>101.5</v>
      </c>
    </row>
    <row r="334" spans="2:10">
      <c r="B334" s="392" t="str">
        <f>Table1[[#This Row],[Cost Center Name]]&amp;" "&amp;Table1[[#This Row],[Job Name]]&amp;" "&amp;"-"&amp;" "&amp;Table1[[#This Row],[Job Code]]</f>
        <v>SR IS WWT FTC Storage.Engineer FTC - 100197</v>
      </c>
      <c r="C334" s="392" t="s">
        <v>354</v>
      </c>
      <c r="D334" s="392" t="s">
        <v>185</v>
      </c>
      <c r="E334" s="392" t="s">
        <v>561</v>
      </c>
      <c r="F334" s="81" t="s">
        <v>567</v>
      </c>
      <c r="G334" s="81">
        <v>100197</v>
      </c>
      <c r="H334" s="392" t="s">
        <v>574</v>
      </c>
      <c r="I334" s="392" t="s">
        <v>358</v>
      </c>
      <c r="J334" s="81">
        <v>95.7</v>
      </c>
    </row>
    <row r="335" spans="2:10">
      <c r="B335" s="392" t="str">
        <f>Table1[[#This Row],[Cost Center Name]]&amp;" "&amp;Table1[[#This Row],[Job Name]]&amp;" "&amp;"-"&amp;" "&amp;Table1[[#This Row],[Job Code]]</f>
        <v>SR IS WWT FTC Project Management.PM FTC - 100198</v>
      </c>
      <c r="C335" s="392" t="s">
        <v>354</v>
      </c>
      <c r="D335" s="392" t="s">
        <v>185</v>
      </c>
      <c r="E335" s="392" t="s">
        <v>561</v>
      </c>
      <c r="F335" s="81" t="s">
        <v>567</v>
      </c>
      <c r="G335" s="81">
        <v>100198</v>
      </c>
      <c r="H335" s="392" t="s">
        <v>575</v>
      </c>
      <c r="I335" s="392" t="s">
        <v>358</v>
      </c>
      <c r="J335" s="81">
        <v>92.8</v>
      </c>
    </row>
    <row r="336" spans="2:10">
      <c r="B336" s="392" t="str">
        <f>Table1[[#This Row],[Cost Center Name]]&amp;" "&amp;Table1[[#This Row],[Job Name]]&amp;" "&amp;"-"&amp;" "&amp;Table1[[#This Row],[Job Code]]</f>
        <v>SR IS WWT FTC Project Management.PgM FTC 1 - 100201</v>
      </c>
      <c r="C336" s="392" t="s">
        <v>354</v>
      </c>
      <c r="D336" s="392" t="s">
        <v>185</v>
      </c>
      <c r="E336" s="392" t="s">
        <v>561</v>
      </c>
      <c r="F336" s="81" t="s">
        <v>567</v>
      </c>
      <c r="G336" s="81">
        <v>100201</v>
      </c>
      <c r="H336" s="392" t="s">
        <v>576</v>
      </c>
      <c r="I336" s="392" t="s">
        <v>358</v>
      </c>
      <c r="J336" s="81">
        <v>130.5</v>
      </c>
    </row>
    <row r="337" spans="2:10">
      <c r="B337" s="392" t="str">
        <f>Table1[[#This Row],[Cost Center Name]]&amp;" "&amp;Table1[[#This Row],[Job Name]]&amp;" "&amp;"-"&amp;" "&amp;Table1[[#This Row],[Job Code]]</f>
        <v>SR IS WWT FTC Project Management.Sr PM FTC 1 - 100202</v>
      </c>
      <c r="C337" s="392" t="s">
        <v>354</v>
      </c>
      <c r="D337" s="392" t="s">
        <v>185</v>
      </c>
      <c r="E337" s="392" t="s">
        <v>561</v>
      </c>
      <c r="F337" s="81" t="s">
        <v>567</v>
      </c>
      <c r="G337" s="81">
        <v>100202</v>
      </c>
      <c r="H337" s="392" t="s">
        <v>577</v>
      </c>
      <c r="I337" s="392" t="s">
        <v>358</v>
      </c>
      <c r="J337" s="81">
        <v>87.73</v>
      </c>
    </row>
    <row r="338" spans="2:10">
      <c r="B338" s="392" t="str">
        <f>Table1[[#This Row],[Cost Center Name]]&amp;" "&amp;Table1[[#This Row],[Job Name]]&amp;" "&amp;"-"&amp;" "&amp;Table1[[#This Row],[Job Code]]</f>
        <v>SR IS WWT FTC Support.Engineer FTC 2 - 100205</v>
      </c>
      <c r="C338" s="392" t="s">
        <v>354</v>
      </c>
      <c r="D338" s="392" t="s">
        <v>185</v>
      </c>
      <c r="E338" s="392" t="s">
        <v>561</v>
      </c>
      <c r="F338" s="81" t="s">
        <v>567</v>
      </c>
      <c r="G338" s="81">
        <v>100205</v>
      </c>
      <c r="H338" s="392" t="s">
        <v>578</v>
      </c>
      <c r="I338" s="392" t="s">
        <v>358</v>
      </c>
      <c r="J338" s="81">
        <v>50.75</v>
      </c>
    </row>
    <row r="339" spans="2:10">
      <c r="B339" s="392" t="str">
        <f>Table1[[#This Row],[Cost Center Name]]&amp;" "&amp;Table1[[#This Row],[Job Name]]&amp;" "&amp;"-"&amp;" "&amp;Table1[[#This Row],[Job Code]]</f>
        <v>SR IS WWT FTC Data Center.Engineer FTC - 100209</v>
      </c>
      <c r="C339" s="392" t="s">
        <v>354</v>
      </c>
      <c r="D339" s="392" t="s">
        <v>185</v>
      </c>
      <c r="E339" s="392" t="s">
        <v>561</v>
      </c>
      <c r="F339" s="81" t="s">
        <v>567</v>
      </c>
      <c r="G339" s="81">
        <v>100209</v>
      </c>
      <c r="H339" s="392" t="s">
        <v>579</v>
      </c>
      <c r="I339" s="392" t="s">
        <v>358</v>
      </c>
      <c r="J339" s="81">
        <v>117.45</v>
      </c>
    </row>
    <row r="340" spans="2:10">
      <c r="B340" s="392" t="str">
        <f>Table1[[#This Row],[Cost Center Name]]&amp;" "&amp;Table1[[#This Row],[Job Name]]&amp;" "&amp;"-"&amp;" "&amp;Table1[[#This Row],[Job Code]]</f>
        <v>SR IS WWT FTC R&amp;S.Sr Engineer FTC - 100213</v>
      </c>
      <c r="C340" s="392" t="s">
        <v>354</v>
      </c>
      <c r="D340" s="392" t="s">
        <v>185</v>
      </c>
      <c r="E340" s="392" t="s">
        <v>561</v>
      </c>
      <c r="F340" s="81" t="s">
        <v>567</v>
      </c>
      <c r="G340" s="81">
        <v>100213</v>
      </c>
      <c r="H340" s="392" t="s">
        <v>580</v>
      </c>
      <c r="I340" s="392" t="s">
        <v>358</v>
      </c>
      <c r="J340" s="81">
        <v>123.25</v>
      </c>
    </row>
    <row r="341" spans="2:10">
      <c r="B341" s="392" t="str">
        <f>Table1[[#This Row],[Cost Center Name]]&amp;" "&amp;Table1[[#This Row],[Job Name]]&amp;" "&amp;"-"&amp;" "&amp;Table1[[#This Row],[Job Code]]</f>
        <v>SR IS WWT FTC Storage.Analyst FTC 2 - 100217</v>
      </c>
      <c r="C341" s="392" t="s">
        <v>354</v>
      </c>
      <c r="D341" s="392" t="s">
        <v>185</v>
      </c>
      <c r="E341" s="392" t="s">
        <v>561</v>
      </c>
      <c r="F341" s="81" t="s">
        <v>567</v>
      </c>
      <c r="G341" s="81">
        <v>100217</v>
      </c>
      <c r="H341" s="392" t="s">
        <v>581</v>
      </c>
      <c r="I341" s="392" t="s">
        <v>358</v>
      </c>
      <c r="J341" s="81">
        <v>60.9</v>
      </c>
    </row>
    <row r="342" spans="2:10">
      <c r="B342" s="392" t="str">
        <f>Table1[[#This Row],[Cost Center Name]]&amp;" "&amp;Table1[[#This Row],[Job Name]]&amp;" "&amp;"-"&amp;" "&amp;Table1[[#This Row],[Job Code]]</f>
        <v>SR IS WWT FTC Storage.Operations Analyst FTC - 100218</v>
      </c>
      <c r="C342" s="392" t="s">
        <v>354</v>
      </c>
      <c r="D342" s="392" t="s">
        <v>185</v>
      </c>
      <c r="E342" s="392" t="s">
        <v>561</v>
      </c>
      <c r="F342" s="81" t="s">
        <v>567</v>
      </c>
      <c r="G342" s="81">
        <v>100218</v>
      </c>
      <c r="H342" s="392" t="s">
        <v>582</v>
      </c>
      <c r="I342" s="392" t="s">
        <v>358</v>
      </c>
      <c r="J342" s="81">
        <v>85.55</v>
      </c>
    </row>
    <row r="343" spans="2:10">
      <c r="B343" s="392" t="str">
        <f>Table1[[#This Row],[Cost Center Name]]&amp;" "&amp;Table1[[#This Row],[Job Name]]&amp;" "&amp;"-"&amp;" "&amp;Table1[[#This Row],[Job Code]]</f>
        <v>SR IS WWT FTC Software.Engineer FTC 1 - 100222</v>
      </c>
      <c r="C343" s="392" t="s">
        <v>354</v>
      </c>
      <c r="D343" s="392" t="s">
        <v>185</v>
      </c>
      <c r="E343" s="392" t="s">
        <v>561</v>
      </c>
      <c r="F343" s="81" t="s">
        <v>567</v>
      </c>
      <c r="G343" s="81">
        <v>100222</v>
      </c>
      <c r="H343" s="392" t="s">
        <v>583</v>
      </c>
      <c r="I343" s="392" t="s">
        <v>358</v>
      </c>
      <c r="J343" s="81">
        <v>87</v>
      </c>
    </row>
    <row r="344" spans="2:10">
      <c r="B344" s="392" t="str">
        <f>Table1[[#This Row],[Cost Center Name]]&amp;" "&amp;Table1[[#This Row],[Job Name]]&amp;" "&amp;"-"&amp;" "&amp;Table1[[#This Row],[Job Code]]</f>
        <v>SR IS WWT FTC QA.Engineer FTC - 100223</v>
      </c>
      <c r="C344" s="392" t="s">
        <v>354</v>
      </c>
      <c r="D344" s="392" t="s">
        <v>185</v>
      </c>
      <c r="E344" s="392" t="s">
        <v>561</v>
      </c>
      <c r="F344" s="81" t="s">
        <v>567</v>
      </c>
      <c r="G344" s="81">
        <v>100223</v>
      </c>
      <c r="H344" s="392" t="s">
        <v>584</v>
      </c>
      <c r="I344" s="392" t="s">
        <v>358</v>
      </c>
      <c r="J344" s="81">
        <v>73.95</v>
      </c>
    </row>
    <row r="345" spans="2:10">
      <c r="B345" s="392" t="str">
        <f>Table1[[#This Row],[Cost Center Name]]&amp;" "&amp;Table1[[#This Row],[Job Name]]&amp;" "&amp;"-"&amp;" "&amp;Table1[[#This Row],[Job Code]]</f>
        <v>SR IS WWT FTC Software.Engineer FTC 2 - 100231</v>
      </c>
      <c r="C345" s="392" t="s">
        <v>354</v>
      </c>
      <c r="D345" s="392" t="s">
        <v>185</v>
      </c>
      <c r="E345" s="392" t="s">
        <v>561</v>
      </c>
      <c r="F345" s="81" t="s">
        <v>567</v>
      </c>
      <c r="G345" s="81">
        <v>100231</v>
      </c>
      <c r="H345" s="392" t="s">
        <v>585</v>
      </c>
      <c r="I345" s="392" t="s">
        <v>358</v>
      </c>
      <c r="J345" s="81">
        <v>73.95</v>
      </c>
    </row>
    <row r="346" spans="2:10">
      <c r="B346" s="392" t="str">
        <f>Table1[[#This Row],[Cost Center Name]]&amp;" "&amp;Table1[[#This Row],[Job Name]]&amp;" "&amp;"-"&amp;" "&amp;Table1[[#This Row],[Job Code]]</f>
        <v>SR IS WWT FTC IS Business.Analyst FTC - 100234</v>
      </c>
      <c r="C346" s="392" t="s">
        <v>354</v>
      </c>
      <c r="D346" s="392" t="s">
        <v>185</v>
      </c>
      <c r="E346" s="392" t="s">
        <v>561</v>
      </c>
      <c r="F346" s="81" t="s">
        <v>567</v>
      </c>
      <c r="G346" s="81">
        <v>100234</v>
      </c>
      <c r="H346" s="392" t="s">
        <v>586</v>
      </c>
      <c r="I346" s="392" t="s">
        <v>358</v>
      </c>
      <c r="J346" s="81">
        <v>82.65</v>
      </c>
    </row>
    <row r="347" spans="2:10">
      <c r="B347" s="392" t="str">
        <f>Table1[[#This Row],[Cost Center Name]]&amp;" "&amp;Table1[[#This Row],[Job Name]]&amp;" "&amp;"-"&amp;" "&amp;Table1[[#This Row],[Job Code]]</f>
        <v>SR IS WWT FTC Project Management.Proj Coor FTC 1 - 100235</v>
      </c>
      <c r="C347" s="392" t="s">
        <v>354</v>
      </c>
      <c r="D347" s="392" t="s">
        <v>185</v>
      </c>
      <c r="E347" s="392" t="s">
        <v>561</v>
      </c>
      <c r="F347" s="81" t="s">
        <v>567</v>
      </c>
      <c r="G347" s="81">
        <v>100235</v>
      </c>
      <c r="H347" s="392" t="s">
        <v>587</v>
      </c>
      <c r="I347" s="392" t="s">
        <v>358</v>
      </c>
      <c r="J347" s="81">
        <v>44.95</v>
      </c>
    </row>
    <row r="348" spans="2:10">
      <c r="B348" s="392" t="str">
        <f>Table1[[#This Row],[Cost Center Name]]&amp;" "&amp;Table1[[#This Row],[Job Name]]&amp;" "&amp;"-"&amp;" "&amp;Table1[[#This Row],[Job Code]]</f>
        <v>SR IS WWT FTC Project Management.Proj Coor NPower FTC - 100241</v>
      </c>
      <c r="C348" s="392" t="s">
        <v>354</v>
      </c>
      <c r="D348" s="392" t="s">
        <v>185</v>
      </c>
      <c r="E348" s="392" t="s">
        <v>561</v>
      </c>
      <c r="F348" s="81" t="s">
        <v>567</v>
      </c>
      <c r="G348" s="81">
        <v>100241</v>
      </c>
      <c r="H348" s="392" t="s">
        <v>588</v>
      </c>
      <c r="I348" s="392" t="s">
        <v>358</v>
      </c>
      <c r="J348" s="81">
        <v>47.85</v>
      </c>
    </row>
    <row r="349" spans="2:10">
      <c r="B349" s="392" t="str">
        <f>Table1[[#This Row],[Cost Center Name]]&amp;" "&amp;Table1[[#This Row],[Job Name]]&amp;" "&amp;"-"&amp;" "&amp;Table1[[#This Row],[Job Code]]</f>
        <v>SR IS WWT FTC Data Center.Engineer FTC 1 - 100259</v>
      </c>
      <c r="C349" s="392" t="s">
        <v>354</v>
      </c>
      <c r="D349" s="392" t="s">
        <v>185</v>
      </c>
      <c r="E349" s="392" t="s">
        <v>561</v>
      </c>
      <c r="F349" s="81" t="s">
        <v>567</v>
      </c>
      <c r="G349" s="81">
        <v>100259</v>
      </c>
      <c r="H349" s="392" t="s">
        <v>589</v>
      </c>
      <c r="I349" s="392" t="s">
        <v>358</v>
      </c>
      <c r="J349" s="81">
        <v>105.85</v>
      </c>
    </row>
    <row r="350" spans="2:10">
      <c r="B350" s="392" t="str">
        <f>Table1[[#This Row],[Cost Center Name]]&amp;" "&amp;Table1[[#This Row],[Job Name]]&amp;" "&amp;"-"&amp;" "&amp;Table1[[#This Row],[Job Code]]</f>
        <v>SR MX Dedicated PMO Project Management.Proj Coor - 100140</v>
      </c>
      <c r="C350" s="392" t="s">
        <v>354</v>
      </c>
      <c r="D350" s="392" t="s">
        <v>185</v>
      </c>
      <c r="E350" s="392" t="s">
        <v>561</v>
      </c>
      <c r="F350" s="81" t="s">
        <v>590</v>
      </c>
      <c r="G350" s="81">
        <v>100140</v>
      </c>
      <c r="H350" s="392" t="s">
        <v>311</v>
      </c>
      <c r="I350" s="392" t="s">
        <v>358</v>
      </c>
      <c r="J350" s="81">
        <v>61.12</v>
      </c>
    </row>
    <row r="351" spans="2:10">
      <c r="B351" s="392" t="str">
        <f>Table1[[#This Row],[Cost Center Name]]&amp;" "&amp;Table1[[#This Row],[Job Name]]&amp;" "&amp;"-"&amp;" "&amp;Table1[[#This Row],[Job Code]]</f>
        <v>SR MX Staffing Coordinators Project Management.Proj Coor - 100140</v>
      </c>
      <c r="C351" s="392" t="s">
        <v>354</v>
      </c>
      <c r="D351" s="392" t="s">
        <v>185</v>
      </c>
      <c r="E351" s="392" t="s">
        <v>561</v>
      </c>
      <c r="F351" s="81" t="s">
        <v>591</v>
      </c>
      <c r="G351" s="81">
        <v>100140</v>
      </c>
      <c r="H351" s="392" t="s">
        <v>311</v>
      </c>
      <c r="I351" s="392" t="s">
        <v>358</v>
      </c>
      <c r="J351" s="81">
        <v>78.72</v>
      </c>
    </row>
    <row r="352" spans="2:10">
      <c r="B352" s="392" t="str">
        <f>Table1[[#This Row],[Cost Center Name]]&amp;" "&amp;Table1[[#This Row],[Job Name]]&amp;" "&amp;"-"&amp;" "&amp;Table1[[#This Row],[Job Code]]</f>
        <v>SR OH Allctd Services Overhead.Director - 100146</v>
      </c>
      <c r="C352" s="392" t="s">
        <v>354</v>
      </c>
      <c r="D352" s="392" t="s">
        <v>185</v>
      </c>
      <c r="E352" s="392" t="s">
        <v>561</v>
      </c>
      <c r="F352" s="81" t="s">
        <v>592</v>
      </c>
      <c r="G352" s="81">
        <v>100146</v>
      </c>
      <c r="H352" s="392" t="s">
        <v>445</v>
      </c>
      <c r="I352" s="392" t="s">
        <v>358</v>
      </c>
      <c r="J352" s="81">
        <v>227.25</v>
      </c>
    </row>
    <row r="353" spans="2:10">
      <c r="B353" s="392" t="str">
        <f>Table1[[#This Row],[Cost Center Name]]&amp;" "&amp;Table1[[#This Row],[Job Name]]&amp;" "&amp;"-"&amp;" "&amp;Table1[[#This Row],[Job Code]]</f>
        <v>SR OH Allctd Services Overhead.Executive - 100147</v>
      </c>
      <c r="C353" s="392" t="s">
        <v>354</v>
      </c>
      <c r="D353" s="392" t="s">
        <v>185</v>
      </c>
      <c r="E353" s="392" t="s">
        <v>561</v>
      </c>
      <c r="F353" s="81" t="s">
        <v>592</v>
      </c>
      <c r="G353" s="81">
        <v>100147</v>
      </c>
      <c r="H353" s="392" t="s">
        <v>593</v>
      </c>
      <c r="I353" s="392" t="s">
        <v>358</v>
      </c>
      <c r="J353" s="81">
        <v>504</v>
      </c>
    </row>
    <row r="354" spans="2:10">
      <c r="B354" s="392" t="str">
        <f>Table1[[#This Row],[Cost Center Name]]&amp;" "&amp;Table1[[#This Row],[Job Name]]&amp;" "&amp;"-"&amp;" "&amp;Table1[[#This Row],[Job Code]]</f>
        <v>SR OH Allctd Services Overhead.Manager - 100148</v>
      </c>
      <c r="C354" s="392" t="s">
        <v>354</v>
      </c>
      <c r="D354" s="392" t="s">
        <v>185</v>
      </c>
      <c r="E354" s="392" t="s">
        <v>561</v>
      </c>
      <c r="F354" s="81" t="s">
        <v>592</v>
      </c>
      <c r="G354" s="81">
        <v>100148</v>
      </c>
      <c r="H354" s="392" t="s">
        <v>362</v>
      </c>
      <c r="I354" s="392" t="s">
        <v>358</v>
      </c>
      <c r="J354" s="81">
        <v>159.75</v>
      </c>
    </row>
    <row r="355" spans="2:10">
      <c r="B355" s="392" t="str">
        <f>Table1[[#This Row],[Cost Center Name]]&amp;" "&amp;Table1[[#This Row],[Job Name]]&amp;" "&amp;"-"&amp;" "&amp;Table1[[#This Row],[Job Code]]</f>
        <v>SR OH Allctd Voice.Sr Engineer - 100178</v>
      </c>
      <c r="C355" s="392" t="s">
        <v>354</v>
      </c>
      <c r="D355" s="392" t="s">
        <v>185</v>
      </c>
      <c r="E355" s="392" t="s">
        <v>561</v>
      </c>
      <c r="F355" s="81" t="s">
        <v>592</v>
      </c>
      <c r="G355" s="81">
        <v>100178</v>
      </c>
      <c r="H355" s="392" t="s">
        <v>479</v>
      </c>
      <c r="I355" s="392" t="s">
        <v>358</v>
      </c>
      <c r="J355" s="81">
        <v>173.25</v>
      </c>
    </row>
    <row r="356" spans="2:10">
      <c r="B356" s="392" t="str">
        <f>Table1[[#This Row],[Cost Center Name]]&amp;" "&amp;Table1[[#This Row],[Job Name]]&amp;" "&amp;"-"&amp;" "&amp;Table1[[#This Row],[Job Code]]</f>
        <v>SR OH Allctd - GES Central Services Overhead.Manager - 100148</v>
      </c>
      <c r="C356" s="392" t="s">
        <v>354</v>
      </c>
      <c r="D356" s="392" t="s">
        <v>185</v>
      </c>
      <c r="E356" s="392" t="s">
        <v>561</v>
      </c>
      <c r="F356" s="81" t="s">
        <v>594</v>
      </c>
      <c r="G356" s="81">
        <v>100148</v>
      </c>
      <c r="H356" s="392" t="s">
        <v>362</v>
      </c>
      <c r="I356" s="392" t="s">
        <v>358</v>
      </c>
      <c r="J356" s="81">
        <v>159.75</v>
      </c>
    </row>
    <row r="357" spans="2:10">
      <c r="B357" s="392" t="str">
        <f>Table1[[#This Row],[Cost Center Name]]&amp;" "&amp;Table1[[#This Row],[Job Name]]&amp;" "&amp;"-"&amp;" "&amp;Table1[[#This Row],[Job Code]]</f>
        <v>SR OH Allctd - GES West Services Overhead.Director - 100146</v>
      </c>
      <c r="C357" s="392" t="s">
        <v>354</v>
      </c>
      <c r="D357" s="392" t="s">
        <v>185</v>
      </c>
      <c r="E357" s="392" t="s">
        <v>561</v>
      </c>
      <c r="F357" s="81" t="s">
        <v>595</v>
      </c>
      <c r="G357" s="81">
        <v>100146</v>
      </c>
      <c r="H357" s="392" t="s">
        <v>445</v>
      </c>
      <c r="I357" s="392" t="s">
        <v>358</v>
      </c>
      <c r="J357" s="81">
        <v>227.25</v>
      </c>
    </row>
    <row r="358" spans="2:10">
      <c r="B358" s="392" t="str">
        <f>Table1[[#This Row],[Cost Center Name]]&amp;" "&amp;Table1[[#This Row],[Job Name]]&amp;" "&amp;"-"&amp;" "&amp;Table1[[#This Row],[Job Code]]</f>
        <v>SR OH Allctd - GES West Services Overhead.Manager - 100148</v>
      </c>
      <c r="C358" s="392" t="s">
        <v>354</v>
      </c>
      <c r="D358" s="392" t="s">
        <v>185</v>
      </c>
      <c r="E358" s="392" t="s">
        <v>561</v>
      </c>
      <c r="F358" s="81" t="s">
        <v>595</v>
      </c>
      <c r="G358" s="81">
        <v>100148</v>
      </c>
      <c r="H358" s="392" t="s">
        <v>362</v>
      </c>
      <c r="I358" s="392" t="s">
        <v>358</v>
      </c>
      <c r="J358" s="81">
        <v>159.75</v>
      </c>
    </row>
  </sheetData>
  <pageMargins left="0.7" right="0.7" top="0.75" bottom="0.75" header="0.3" footer="0.3"/>
  <headerFooter>
    <oddFooter>&amp;C_x000D_&amp;1#&amp;"Calibri"&amp;10&amp;K008000 GENERAL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FFC000"/>
  </sheetPr>
  <dimension ref="B1:I195"/>
  <sheetViews>
    <sheetView workbookViewId="0"/>
  </sheetViews>
  <sheetFormatPr defaultColWidth="8.5" defaultRowHeight="14.1"/>
  <cols>
    <col min="2" max="2" width="46.375" customWidth="1"/>
    <col min="3" max="3" width="24.875" bestFit="1" customWidth="1"/>
    <col min="4" max="4" width="52.5" customWidth="1"/>
    <col min="5" max="5" width="13" customWidth="1"/>
    <col min="6" max="6" width="13.5" customWidth="1"/>
    <col min="7" max="7" width="16" bestFit="1" customWidth="1"/>
    <col min="8" max="8" width="13.375" customWidth="1"/>
    <col min="9" max="9" width="10.375" bestFit="1" customWidth="1"/>
  </cols>
  <sheetData>
    <row r="1" spans="2:9" ht="42" customHeight="1">
      <c r="B1" s="392"/>
      <c r="C1" s="392"/>
      <c r="D1" s="404" t="s">
        <v>596</v>
      </c>
      <c r="E1" s="13" t="s">
        <v>597</v>
      </c>
      <c r="F1" s="2" t="s">
        <v>598</v>
      </c>
      <c r="G1" s="2" t="s">
        <v>599</v>
      </c>
      <c r="H1" s="2" t="s">
        <v>600</v>
      </c>
      <c r="I1" s="2" t="s">
        <v>601</v>
      </c>
    </row>
    <row r="2" spans="2:9">
      <c r="B2" s="392"/>
      <c r="C2" s="392"/>
      <c r="D2" s="82" t="s">
        <v>602</v>
      </c>
      <c r="E2" s="83">
        <v>44937</v>
      </c>
      <c r="F2" s="83">
        <v>44944</v>
      </c>
      <c r="G2" s="392"/>
      <c r="H2" s="2"/>
      <c r="I2" s="392"/>
    </row>
    <row r="3" spans="2:9">
      <c r="B3" s="392"/>
      <c r="C3" s="72"/>
      <c r="D3" s="46" t="s">
        <v>603</v>
      </c>
      <c r="E3" s="22"/>
      <c r="F3" s="392"/>
      <c r="G3" s="392"/>
      <c r="H3" s="392"/>
      <c r="I3" s="392"/>
    </row>
    <row r="4" spans="2:9">
      <c r="B4" s="392" t="str">
        <f t="shared" ref="B4:B19" si="0">C4&amp;D4</f>
        <v>IS DS EngineeringData Center.Sr Engineer - 100082</v>
      </c>
      <c r="C4" s="73" t="s">
        <v>487</v>
      </c>
      <c r="D4" s="21" t="s">
        <v>604</v>
      </c>
      <c r="E4" s="22">
        <v>172.08</v>
      </c>
      <c r="F4" s="74">
        <f>VLOOKUP(B4,Input!B:J,9,0)</f>
        <v>182.4</v>
      </c>
      <c r="G4" s="392"/>
      <c r="H4" s="26">
        <f t="shared" ref="H4:H19" si="1">F4-E4</f>
        <v>10.319999999999993</v>
      </c>
      <c r="I4" s="75">
        <f t="shared" ref="I4:I19" si="2">H4/E4</f>
        <v>5.9972105997210555E-2</v>
      </c>
    </row>
    <row r="5" spans="2:9">
      <c r="B5" s="392" t="str">
        <f t="shared" si="0"/>
        <v>IS DS EngineeringData Center.Engineer - 100081</v>
      </c>
      <c r="C5" s="73" t="s">
        <v>487</v>
      </c>
      <c r="D5" s="21" t="s">
        <v>605</v>
      </c>
      <c r="E5" s="22">
        <v>131.44999999999999</v>
      </c>
      <c r="F5" s="74">
        <f>VLOOKUP(B5,Input!B:J,9,0)</f>
        <v>132</v>
      </c>
      <c r="G5" s="392"/>
      <c r="H5" s="26">
        <f t="shared" si="1"/>
        <v>0.55000000000001137</v>
      </c>
      <c r="I5" s="75">
        <f t="shared" si="2"/>
        <v>4.1841004184101291E-3</v>
      </c>
    </row>
    <row r="6" spans="2:9">
      <c r="B6" s="392" t="str">
        <f t="shared" si="0"/>
        <v>IS DS AutomationAutomation.Engineer - 100261</v>
      </c>
      <c r="C6" s="76" t="s">
        <v>460</v>
      </c>
      <c r="D6" s="21" t="s">
        <v>606</v>
      </c>
      <c r="E6" s="69">
        <v>145.19999999999999</v>
      </c>
      <c r="F6" s="74">
        <f>VLOOKUP(B6,Input!B:J,9,0)</f>
        <v>167.67</v>
      </c>
      <c r="G6" s="392"/>
      <c r="H6" s="26">
        <f t="shared" si="1"/>
        <v>22.47</v>
      </c>
      <c r="I6" s="75">
        <f t="shared" si="2"/>
        <v>0.1547520661157025</v>
      </c>
    </row>
    <row r="7" spans="2:9">
      <c r="B7" s="392" t="str">
        <f t="shared" si="0"/>
        <v>IS DS EngineeringR&amp;S.Engineer - 100152</v>
      </c>
      <c r="C7" s="73" t="s">
        <v>487</v>
      </c>
      <c r="D7" s="21" t="s">
        <v>607</v>
      </c>
      <c r="E7" s="69">
        <v>131.44999999999999</v>
      </c>
      <c r="F7" s="74">
        <f>VLOOKUP(B7,Input!B:J,9,0)</f>
        <v>139.19999999999999</v>
      </c>
      <c r="G7" s="392"/>
      <c r="H7" s="26">
        <f t="shared" si="1"/>
        <v>7.75</v>
      </c>
      <c r="I7" s="75">
        <f t="shared" si="2"/>
        <v>5.8957778623050593E-2</v>
      </c>
    </row>
    <row r="8" spans="2:9">
      <c r="B8" s="392" t="str">
        <f t="shared" si="0"/>
        <v>IS DS EngineeringEUC.Engineer - 100109</v>
      </c>
      <c r="C8" s="73" t="s">
        <v>487</v>
      </c>
      <c r="D8" s="21" t="s">
        <v>608</v>
      </c>
      <c r="E8" s="22">
        <v>133.84</v>
      </c>
      <c r="F8" s="77">
        <f>E8</f>
        <v>133.84</v>
      </c>
      <c r="G8" s="392" t="s">
        <v>609</v>
      </c>
      <c r="H8" s="26">
        <f t="shared" si="1"/>
        <v>0</v>
      </c>
      <c r="I8" s="75">
        <f t="shared" si="2"/>
        <v>0</v>
      </c>
    </row>
    <row r="9" spans="2:9">
      <c r="B9" s="392" t="str">
        <f t="shared" si="0"/>
        <v>IS DS EngineeringR&amp;S.Sr Engineer - 100153</v>
      </c>
      <c r="C9" s="73" t="s">
        <v>487</v>
      </c>
      <c r="D9" s="21" t="s">
        <v>610</v>
      </c>
      <c r="E9" s="22">
        <v>181.64</v>
      </c>
      <c r="F9" s="74">
        <f>VLOOKUP(B9,Input!B:J,9,0)</f>
        <v>192</v>
      </c>
      <c r="G9" s="392"/>
      <c r="H9" s="26">
        <f t="shared" si="1"/>
        <v>10.360000000000014</v>
      </c>
      <c r="I9" s="75">
        <f t="shared" si="2"/>
        <v>5.703589517727381E-2</v>
      </c>
    </row>
    <row r="10" spans="2:9">
      <c r="B10" s="392" t="str">
        <f t="shared" si="0"/>
        <v>IS DS EngineeringEUC.Sr Engineer - 100110</v>
      </c>
      <c r="C10" s="73" t="s">
        <v>487</v>
      </c>
      <c r="D10" s="21" t="s">
        <v>611</v>
      </c>
      <c r="E10" s="22">
        <v>148.18</v>
      </c>
      <c r="F10" s="74">
        <f>VLOOKUP(B10,Input!B:J,9,0)</f>
        <v>160.80000000000001</v>
      </c>
      <c r="G10" s="392"/>
      <c r="H10" s="26">
        <f t="shared" si="1"/>
        <v>12.620000000000005</v>
      </c>
      <c r="I10" s="75">
        <f t="shared" si="2"/>
        <v>8.5166689161830234E-2</v>
      </c>
    </row>
    <row r="11" spans="2:9">
      <c r="B11" s="392" t="str">
        <f t="shared" si="0"/>
        <v>IS DS EngineeringSDN.Architect - 100154</v>
      </c>
      <c r="C11" s="73" t="s">
        <v>487</v>
      </c>
      <c r="D11" s="21" t="s">
        <v>612</v>
      </c>
      <c r="E11" s="22">
        <v>181.64</v>
      </c>
      <c r="F11" s="74">
        <f>VLOOKUP(B11,Input!B:J,9,0)</f>
        <v>194.4</v>
      </c>
      <c r="G11" s="392"/>
      <c r="H11" s="26">
        <f t="shared" si="1"/>
        <v>12.760000000000019</v>
      </c>
      <c r="I11" s="75">
        <f t="shared" si="2"/>
        <v>7.0248843866989763E-2</v>
      </c>
    </row>
    <row r="12" spans="2:9">
      <c r="B12" s="392" t="str">
        <f t="shared" si="0"/>
        <v>IS DS EngineeringSecurity.Sr Engineer - 100160</v>
      </c>
      <c r="C12" s="73" t="s">
        <v>487</v>
      </c>
      <c r="D12" s="21" t="s">
        <v>613</v>
      </c>
      <c r="E12" s="22">
        <v>181.64</v>
      </c>
      <c r="F12" s="74">
        <f>VLOOKUP(B12,Input!B:J,9,0)</f>
        <v>189.6</v>
      </c>
      <c r="G12" s="392"/>
      <c r="H12" s="26">
        <f t="shared" si="1"/>
        <v>7.960000000000008</v>
      </c>
      <c r="I12" s="75">
        <f t="shared" si="2"/>
        <v>4.3822946487557857E-2</v>
      </c>
    </row>
    <row r="13" spans="2:9">
      <c r="B13" s="392" t="str">
        <f t="shared" si="0"/>
        <v>IS DS AutomationAutomation.Sr Engineer - 100272</v>
      </c>
      <c r="C13" s="76" t="s">
        <v>460</v>
      </c>
      <c r="D13" s="21" t="s">
        <v>614</v>
      </c>
      <c r="E13" s="22">
        <v>167.3</v>
      </c>
      <c r="F13" s="74">
        <f>VLOOKUP(B13,Input!B:J,9,0)</f>
        <v>182.25</v>
      </c>
      <c r="G13" s="392"/>
      <c r="H13" s="26">
        <f t="shared" si="1"/>
        <v>14.949999999999989</v>
      </c>
      <c r="I13" s="75">
        <f t="shared" si="2"/>
        <v>8.9360430364614385E-2</v>
      </c>
    </row>
    <row r="14" spans="2:9">
      <c r="B14" s="392" t="str">
        <f t="shared" si="0"/>
        <v>IS DS EngineeringVoice.Sr Engineer UCCE - 100179</v>
      </c>
      <c r="C14" s="73" t="s">
        <v>487</v>
      </c>
      <c r="D14" s="21" t="s">
        <v>615</v>
      </c>
      <c r="E14" s="22">
        <v>205.54</v>
      </c>
      <c r="F14" s="74">
        <f>VLOOKUP(B14,Input!B:J,9,0)</f>
        <v>213.6</v>
      </c>
      <c r="G14" s="392"/>
      <c r="H14" s="26">
        <f t="shared" si="1"/>
        <v>8.0600000000000023</v>
      </c>
      <c r="I14" s="75">
        <f t="shared" si="2"/>
        <v>3.9213778339982498E-2</v>
      </c>
    </row>
    <row r="15" spans="2:9">
      <c r="B15" s="392" t="str">
        <f t="shared" si="0"/>
        <v>IS DS EngineeringVoice.Sr Engineer - 100178</v>
      </c>
      <c r="C15" s="72" t="s">
        <v>487</v>
      </c>
      <c r="D15" s="21" t="s">
        <v>616</v>
      </c>
      <c r="E15" s="22">
        <v>174.47</v>
      </c>
      <c r="F15" s="74">
        <f>VLOOKUP(B15,Input!B:J,9,0)</f>
        <v>184.8</v>
      </c>
      <c r="G15" s="392"/>
      <c r="H15" s="26">
        <f t="shared" si="1"/>
        <v>10.330000000000013</v>
      </c>
      <c r="I15" s="75">
        <f t="shared" si="2"/>
        <v>5.9207886742706557E-2</v>
      </c>
    </row>
    <row r="16" spans="2:9">
      <c r="B16" s="392" t="str">
        <f t="shared" si="0"/>
        <v>IS MS EnablementVoice.Engineer - 100177</v>
      </c>
      <c r="C16" s="78" t="s">
        <v>528</v>
      </c>
      <c r="D16" s="21" t="s">
        <v>617</v>
      </c>
      <c r="E16" s="22">
        <v>136.22999999999999</v>
      </c>
      <c r="F16" s="74">
        <f>VLOOKUP(B16,Input!B:J,9,0)</f>
        <v>149.94</v>
      </c>
      <c r="G16" s="392"/>
      <c r="H16" s="26">
        <f t="shared" si="1"/>
        <v>13.710000000000008</v>
      </c>
      <c r="I16" s="75">
        <f t="shared" si="2"/>
        <v>0.10063862585333634</v>
      </c>
    </row>
    <row r="17" spans="2:9">
      <c r="B17" s="392" t="str">
        <f t="shared" si="0"/>
        <v>IS DS EngineeringWireless.Sr Engineer - 100182</v>
      </c>
      <c r="C17" s="73" t="s">
        <v>487</v>
      </c>
      <c r="D17" s="21" t="s">
        <v>618</v>
      </c>
      <c r="E17" s="22">
        <v>157.74</v>
      </c>
      <c r="F17" s="74">
        <f>VLOOKUP(B17,Input!B:J,9,0)</f>
        <v>170.4</v>
      </c>
      <c r="G17" s="392"/>
      <c r="H17" s="26">
        <f t="shared" si="1"/>
        <v>12.659999999999997</v>
      </c>
      <c r="I17" s="75">
        <f t="shared" si="2"/>
        <v>8.025865348041078E-2</v>
      </c>
    </row>
    <row r="18" spans="2:9">
      <c r="B18" s="392" t="str">
        <f t="shared" si="0"/>
        <v>IS DS EngineeringWireless.Engineer - 100182</v>
      </c>
      <c r="C18" s="73" t="s">
        <v>487</v>
      </c>
      <c r="D18" s="21" t="s">
        <v>619</v>
      </c>
      <c r="E18" s="22">
        <v>143.4</v>
      </c>
      <c r="F18" s="77">
        <f>E18</f>
        <v>143.4</v>
      </c>
      <c r="G18" s="392" t="s">
        <v>609</v>
      </c>
      <c r="H18" s="26">
        <f t="shared" si="1"/>
        <v>0</v>
      </c>
      <c r="I18" s="75">
        <f t="shared" si="2"/>
        <v>0</v>
      </c>
    </row>
    <row r="19" spans="2:9">
      <c r="B19" s="392" t="str">
        <f t="shared" si="0"/>
        <v>IS DS Domain ArchitectsDesign.Architect - 100219</v>
      </c>
      <c r="C19" s="73" t="s">
        <v>483</v>
      </c>
      <c r="D19" s="21" t="s">
        <v>620</v>
      </c>
      <c r="E19" s="22">
        <v>188.81</v>
      </c>
      <c r="F19" s="74">
        <f>VLOOKUP(B19,Input!B:J,9,0)</f>
        <v>215.76</v>
      </c>
      <c r="G19" s="392"/>
      <c r="H19" s="26">
        <f t="shared" si="1"/>
        <v>26.949999999999989</v>
      </c>
      <c r="I19" s="75">
        <f t="shared" si="2"/>
        <v>0.1427360838938615</v>
      </c>
    </row>
    <row r="20" spans="2:9">
      <c r="B20" s="392"/>
      <c r="C20" s="392"/>
      <c r="D20" s="21"/>
      <c r="E20" s="22"/>
      <c r="F20" s="74"/>
      <c r="G20" s="392"/>
      <c r="H20" s="26"/>
      <c r="I20" s="75"/>
    </row>
    <row r="21" spans="2:9">
      <c r="B21" s="392"/>
      <c r="C21" s="392"/>
      <c r="D21" s="46" t="s">
        <v>621</v>
      </c>
      <c r="E21" s="22"/>
      <c r="F21" s="74"/>
      <c r="G21" s="392"/>
      <c r="H21" s="26"/>
      <c r="I21" s="75"/>
    </row>
    <row r="22" spans="2:9">
      <c r="B22" s="392" t="str">
        <f t="shared" ref="B22:B28" si="3">C22&amp;D22</f>
        <v>IS ES ConsultantsAdvisoryServices.PrincipalConsultant - 100007</v>
      </c>
      <c r="C22" s="73" t="s">
        <v>517</v>
      </c>
      <c r="D22" s="21" t="s">
        <v>622</v>
      </c>
      <c r="E22" s="22">
        <v>217.92</v>
      </c>
      <c r="F22" s="74">
        <f>VLOOKUP(B22,Input!B:J,9,0)</f>
        <v>218.88</v>
      </c>
      <c r="G22" s="392"/>
      <c r="H22" s="26">
        <f t="shared" ref="H22:H28" si="4">F22-E22</f>
        <v>0.96000000000000796</v>
      </c>
      <c r="I22" s="75">
        <f t="shared" ref="I22:I28" si="5">H22/E22</f>
        <v>4.4052863436123716E-3</v>
      </c>
    </row>
    <row r="23" spans="2:9">
      <c r="B23" s="392" t="str">
        <f t="shared" si="3"/>
        <v>IS ES ConsultantsAdvisoryServices.SeniorConsultant - 100008</v>
      </c>
      <c r="C23" s="73" t="s">
        <v>517</v>
      </c>
      <c r="D23" s="21" t="s">
        <v>623</v>
      </c>
      <c r="E23" s="22">
        <v>177.06</v>
      </c>
      <c r="F23" s="74">
        <f>VLOOKUP(B23,Input!B:J,9,0)</f>
        <v>177.84</v>
      </c>
      <c r="G23" s="392"/>
      <c r="H23" s="26">
        <f t="shared" si="4"/>
        <v>0.78000000000000114</v>
      </c>
      <c r="I23" s="75">
        <f t="shared" si="5"/>
        <v>4.4052863436123413E-3</v>
      </c>
    </row>
    <row r="24" spans="2:9">
      <c r="B24" s="392" t="str">
        <f t="shared" si="3"/>
        <v>IS ES ConsultantsAdvisoryServices.Consultant - 100003</v>
      </c>
      <c r="C24" s="73" t="s">
        <v>517</v>
      </c>
      <c r="D24" s="21" t="s">
        <v>624</v>
      </c>
      <c r="E24" s="22">
        <v>165.71</v>
      </c>
      <c r="F24" s="74">
        <f>VLOOKUP(B24,Input!B:J,9,0)</f>
        <v>166.44</v>
      </c>
      <c r="G24" s="392"/>
      <c r="H24" s="26">
        <f t="shared" si="4"/>
        <v>0.72999999999998977</v>
      </c>
      <c r="I24" s="75">
        <f t="shared" si="5"/>
        <v>4.4052863436122728E-3</v>
      </c>
    </row>
    <row r="25" spans="2:9">
      <c r="B25" s="392" t="str">
        <f t="shared" si="3"/>
        <v>IS ES ConsultantsAdvisoryServices.Enterprise Architect - 100004</v>
      </c>
      <c r="C25" s="73" t="s">
        <v>517</v>
      </c>
      <c r="D25" s="21" t="s">
        <v>625</v>
      </c>
      <c r="E25" s="22">
        <v>202.03</v>
      </c>
      <c r="F25" s="74">
        <f>VLOOKUP(B25,Input!B:J,9,0)</f>
        <v>214.32</v>
      </c>
      <c r="G25" s="392"/>
      <c r="H25" s="26">
        <f t="shared" si="4"/>
        <v>12.289999999999992</v>
      </c>
      <c r="I25" s="75">
        <f t="shared" si="5"/>
        <v>6.0832549621343324E-2</v>
      </c>
    </row>
    <row r="26" spans="2:9">
      <c r="B26" s="392" t="str">
        <f t="shared" si="3"/>
        <v>IS ES ConsultantsAdvisoryServices.LeadConsultant - 100005</v>
      </c>
      <c r="C26" s="73" t="s">
        <v>517</v>
      </c>
      <c r="D26" s="21" t="s">
        <v>626</v>
      </c>
      <c r="E26" s="22">
        <v>199.76</v>
      </c>
      <c r="F26" s="74">
        <f>VLOOKUP(B26,Input!B:J,9,0)</f>
        <v>200.64</v>
      </c>
      <c r="G26" s="392"/>
      <c r="H26" s="26">
        <f t="shared" si="4"/>
        <v>0.87999999999999545</v>
      </c>
      <c r="I26" s="75">
        <f t="shared" si="5"/>
        <v>4.4052863436123127E-3</v>
      </c>
    </row>
    <row r="27" spans="2:9">
      <c r="B27" s="392" t="str">
        <f t="shared" si="3"/>
        <v>IS ES ConsultantsAdvisoryServices.AssociateConsultant - 100001</v>
      </c>
      <c r="C27" s="73" t="s">
        <v>517</v>
      </c>
      <c r="D27" s="21" t="s">
        <v>627</v>
      </c>
      <c r="E27" s="22">
        <v>113.5</v>
      </c>
      <c r="F27" s="74">
        <f>VLOOKUP(B27,Input!B:J,9,0)</f>
        <v>114</v>
      </c>
      <c r="G27" s="392"/>
      <c r="H27" s="26">
        <f t="shared" si="4"/>
        <v>0.5</v>
      </c>
      <c r="I27" s="75">
        <f t="shared" si="5"/>
        <v>4.4052863436123352E-3</v>
      </c>
    </row>
    <row r="28" spans="2:9">
      <c r="B28" s="392" t="str">
        <f t="shared" si="3"/>
        <v>IS ES ConsultantsAdvisoryServices.Chief Architect - 100002</v>
      </c>
      <c r="C28" s="73" t="s">
        <v>517</v>
      </c>
      <c r="D28" s="21" t="s">
        <v>628</v>
      </c>
      <c r="E28" s="22">
        <v>229.27</v>
      </c>
      <c r="F28" s="74">
        <f>VLOOKUP(B28,Input!B:J,9,0)</f>
        <v>230.28</v>
      </c>
      <c r="G28" s="392"/>
      <c r="H28" s="26">
        <f t="shared" si="4"/>
        <v>1.0099999999999909</v>
      </c>
      <c r="I28" s="75">
        <f t="shared" si="5"/>
        <v>4.4052863436122953E-3</v>
      </c>
    </row>
    <row r="29" spans="2:9">
      <c r="B29" s="392"/>
      <c r="C29" s="392"/>
      <c r="D29" s="21"/>
      <c r="E29" s="22"/>
      <c r="F29" s="74"/>
      <c r="G29" s="392"/>
      <c r="H29" s="26"/>
      <c r="I29" s="75"/>
    </row>
    <row r="30" spans="2:9">
      <c r="B30" s="392"/>
      <c r="C30" s="392"/>
      <c r="D30" s="21"/>
      <c r="E30" s="22"/>
      <c r="F30" s="74"/>
      <c r="G30" s="392"/>
      <c r="H30" s="26"/>
      <c r="I30" s="75"/>
    </row>
    <row r="31" spans="2:9">
      <c r="B31" s="392"/>
      <c r="C31" s="392"/>
      <c r="D31" s="46" t="s">
        <v>629</v>
      </c>
      <c r="E31" s="22"/>
      <c r="F31" s="74"/>
      <c r="G31" s="392"/>
      <c r="H31" s="26"/>
      <c r="I31" s="75"/>
    </row>
    <row r="32" spans="2:9">
      <c r="B32" s="392" t="str">
        <f>C32&amp;D32</f>
        <v>SV House Deal Architects Engagement.Architect - 100106</v>
      </c>
      <c r="C32" s="73" t="s">
        <v>630</v>
      </c>
      <c r="D32" s="21" t="s">
        <v>631</v>
      </c>
      <c r="E32" s="22">
        <v>177.48</v>
      </c>
      <c r="F32" s="74">
        <f>VLOOKUP(B32,Input!B:J,9,0)</f>
        <v>197.83</v>
      </c>
      <c r="G32" s="392"/>
      <c r="H32" s="26">
        <f>F32-E32</f>
        <v>20.350000000000023</v>
      </c>
      <c r="I32" s="75">
        <f>H32/E32</f>
        <v>0.11466080685147635</v>
      </c>
    </row>
    <row r="34" spans="2:9">
      <c r="B34" s="392"/>
      <c r="C34" s="392"/>
      <c r="D34" s="46" t="s">
        <v>632</v>
      </c>
      <c r="E34" s="22"/>
      <c r="F34" s="74"/>
      <c r="G34" s="392"/>
      <c r="H34" s="26"/>
      <c r="I34" s="75"/>
    </row>
    <row r="35" spans="2:9">
      <c r="B35" s="392" t="str">
        <f>C35&amp;D35</f>
        <v>IS DS Federal DedicatedSupport.Engineer - 100168</v>
      </c>
      <c r="C35" s="73" t="s">
        <v>498</v>
      </c>
      <c r="D35" s="21" t="s">
        <v>633</v>
      </c>
      <c r="E35" s="22">
        <v>77.28</v>
      </c>
      <c r="F35" s="74">
        <f>VLOOKUP(B35,Input!B:J,9,0)</f>
        <v>77.7</v>
      </c>
      <c r="G35" s="392"/>
      <c r="H35" s="26">
        <f>F35-E35</f>
        <v>0.42000000000000171</v>
      </c>
      <c r="I35" s="75">
        <f>H35/E35</f>
        <v>5.4347826086956746E-3</v>
      </c>
    </row>
    <row r="36" spans="2:9">
      <c r="B36" s="392" t="str">
        <f>C36&amp;D36</f>
        <v>IS DS Dedicated EngAutomation.Engineer - 100261</v>
      </c>
      <c r="C36" s="72" t="s">
        <v>473</v>
      </c>
      <c r="D36" s="21" t="s">
        <v>606</v>
      </c>
      <c r="E36" s="22">
        <v>110.4</v>
      </c>
      <c r="F36" s="74">
        <f>VLOOKUP(B36,Input!B:J,9,0)</f>
        <v>127.65</v>
      </c>
      <c r="G36" s="392"/>
      <c r="H36" s="26">
        <f>F36-E36</f>
        <v>17.25</v>
      </c>
      <c r="I36" s="75">
        <f>H36/E36</f>
        <v>0.15625</v>
      </c>
    </row>
    <row r="37" spans="2:9">
      <c r="B37" s="392"/>
      <c r="C37" s="392"/>
      <c r="D37" s="21"/>
      <c r="E37" s="22"/>
      <c r="F37" s="74"/>
      <c r="G37" s="392"/>
      <c r="H37" s="26"/>
      <c r="I37" s="75"/>
    </row>
    <row r="38" spans="2:9">
      <c r="B38" s="392" t="str">
        <f t="shared" ref="B38:B45" si="6">C38&amp;D38</f>
        <v>IS DS Dedicated EngData Center.Sr Engineer - 100082</v>
      </c>
      <c r="C38" s="72" t="s">
        <v>473</v>
      </c>
      <c r="D38" s="21" t="s">
        <v>604</v>
      </c>
      <c r="E38" s="22">
        <v>132.47999999999999</v>
      </c>
      <c r="F38" s="74">
        <f>VLOOKUP(B38,Input!B:J,9,0)</f>
        <v>140.6</v>
      </c>
      <c r="G38" s="392"/>
      <c r="H38" s="26">
        <f t="shared" ref="H38:H45" si="7">F38-E38</f>
        <v>8.1200000000000045</v>
      </c>
      <c r="I38" s="75">
        <f t="shared" ref="I38:I45" si="8">H38/E38</f>
        <v>6.1292270531401002E-2</v>
      </c>
    </row>
    <row r="39" spans="2:9">
      <c r="B39" s="392" t="str">
        <f t="shared" si="6"/>
        <v>IS DS Dedicated EngR&amp;S.Sr Engineer - 100153</v>
      </c>
      <c r="C39" s="72" t="s">
        <v>473</v>
      </c>
      <c r="D39" s="21" t="s">
        <v>610</v>
      </c>
      <c r="E39" s="22">
        <v>139.84</v>
      </c>
      <c r="F39" s="74">
        <f>VLOOKUP(B39,Input!B:J,9,0)</f>
        <v>148</v>
      </c>
      <c r="G39" s="392"/>
      <c r="H39" s="26">
        <f t="shared" si="7"/>
        <v>8.1599999999999966</v>
      </c>
      <c r="I39" s="75">
        <f t="shared" si="8"/>
        <v>5.8352402745995395E-2</v>
      </c>
    </row>
    <row r="40" spans="2:9">
      <c r="B40" s="392" t="str">
        <f t="shared" si="6"/>
        <v>IS DS Dedicated EngR&amp;S.Engineer - 100152</v>
      </c>
      <c r="C40" s="72" t="s">
        <v>473</v>
      </c>
      <c r="D40" s="21" t="s">
        <v>607</v>
      </c>
      <c r="E40" s="22">
        <v>101.2</v>
      </c>
      <c r="F40" s="74">
        <f>VLOOKUP(B40,Input!B:J,9,0)</f>
        <v>107.3</v>
      </c>
      <c r="G40" s="392"/>
      <c r="H40" s="26">
        <f t="shared" si="7"/>
        <v>6.0999999999999943</v>
      </c>
      <c r="I40" s="75">
        <f t="shared" si="8"/>
        <v>6.0276679841897177E-2</v>
      </c>
    </row>
    <row r="41" spans="2:9">
      <c r="B41" s="392" t="str">
        <f t="shared" si="6"/>
        <v>IS DS Dedicated EngSDN Architect - 100154</v>
      </c>
      <c r="C41" s="72" t="s">
        <v>473</v>
      </c>
      <c r="D41" s="21" t="s">
        <v>634</v>
      </c>
      <c r="E41" s="22">
        <v>139.84</v>
      </c>
      <c r="F41" s="77">
        <f>E41</f>
        <v>139.84</v>
      </c>
      <c r="G41" s="392" t="s">
        <v>609</v>
      </c>
      <c r="H41" s="26">
        <f t="shared" si="7"/>
        <v>0</v>
      </c>
      <c r="I41" s="75">
        <f t="shared" si="8"/>
        <v>0</v>
      </c>
    </row>
    <row r="42" spans="2:9">
      <c r="B42" s="392" t="str">
        <f t="shared" si="6"/>
        <v>IS DS Dedicated EngSecurity.Sr Engineer - 100160</v>
      </c>
      <c r="C42" s="72" t="s">
        <v>473</v>
      </c>
      <c r="D42" s="21" t="s">
        <v>613</v>
      </c>
      <c r="E42" s="22">
        <v>139.84</v>
      </c>
      <c r="F42" s="74">
        <f>VLOOKUP(B42,Input!B:J,9,0)</f>
        <v>146.15</v>
      </c>
      <c r="G42" s="392"/>
      <c r="H42" s="26">
        <f t="shared" si="7"/>
        <v>6.3100000000000023</v>
      </c>
      <c r="I42" s="75">
        <f t="shared" si="8"/>
        <v>4.5122997711670498E-2</v>
      </c>
    </row>
    <row r="43" spans="2:9">
      <c r="B43" s="392" t="str">
        <f t="shared" si="6"/>
        <v>IS DS Dedicated EngEnterprise.Architect - 100108</v>
      </c>
      <c r="C43" s="72" t="s">
        <v>473</v>
      </c>
      <c r="D43" s="21" t="s">
        <v>635</v>
      </c>
      <c r="E43" s="22">
        <v>145.25</v>
      </c>
      <c r="F43" s="77">
        <f>E43</f>
        <v>145.25</v>
      </c>
      <c r="G43" s="392" t="s">
        <v>609</v>
      </c>
      <c r="H43" s="26">
        <f t="shared" si="7"/>
        <v>0</v>
      </c>
      <c r="I43" s="75">
        <f t="shared" si="8"/>
        <v>0</v>
      </c>
    </row>
    <row r="44" spans="2:9">
      <c r="B44" s="392" t="str">
        <f t="shared" si="6"/>
        <v>IS DS Dedicated EngVoice.Sr Engineer - 100178</v>
      </c>
      <c r="C44" s="72" t="s">
        <v>473</v>
      </c>
      <c r="D44" s="21" t="s">
        <v>616</v>
      </c>
      <c r="E44" s="22">
        <v>134.32</v>
      </c>
      <c r="F44" s="77">
        <f>VLOOKUP(B44,Input!B:J,9,0)</f>
        <v>142.44999999999999</v>
      </c>
      <c r="G44" s="392" t="s">
        <v>636</v>
      </c>
      <c r="H44" s="26">
        <f t="shared" si="7"/>
        <v>8.1299999999999955</v>
      </c>
      <c r="I44" s="75">
        <f t="shared" si="8"/>
        <v>6.0527099463966616E-2</v>
      </c>
    </row>
    <row r="45" spans="2:9">
      <c r="B45" s="392" t="str">
        <f t="shared" si="6"/>
        <v>IS DS Dedicated EngVoice.Engineer - 100177</v>
      </c>
      <c r="C45" s="72" t="s">
        <v>473</v>
      </c>
      <c r="D45" s="21" t="s">
        <v>617</v>
      </c>
      <c r="E45" s="22">
        <v>104.88</v>
      </c>
      <c r="F45" s="74">
        <f>VLOOKUP(B45,Input!B:J,9,0)</f>
        <v>116.55</v>
      </c>
      <c r="G45" s="392"/>
      <c r="H45" s="26">
        <f t="shared" si="7"/>
        <v>11.670000000000002</v>
      </c>
      <c r="I45" s="75">
        <f t="shared" si="8"/>
        <v>0.11127002288329521</v>
      </c>
    </row>
    <row r="46" spans="2:9">
      <c r="B46" s="392"/>
      <c r="C46" s="392"/>
      <c r="D46" s="21"/>
      <c r="E46" s="22"/>
      <c r="F46" s="74"/>
      <c r="G46" s="392"/>
      <c r="H46" s="26"/>
      <c r="I46" s="75"/>
    </row>
    <row r="47" spans="2:9">
      <c r="B47" s="79" t="str">
        <f>D47</f>
        <v>IS DS Dedicated PMOProject Management.PgM - 100138</v>
      </c>
      <c r="C47" s="392"/>
      <c r="D47" s="21" t="s">
        <v>637</v>
      </c>
      <c r="E47" s="22">
        <v>142.5</v>
      </c>
      <c r="F47" s="74">
        <f>VLOOKUP(B47,Input!B:J,9,0)</f>
        <v>143.25</v>
      </c>
      <c r="G47" s="392"/>
      <c r="H47" s="26">
        <f>F47-E47</f>
        <v>0.75</v>
      </c>
      <c r="I47" s="75">
        <f>H47/E47</f>
        <v>5.263157894736842E-3</v>
      </c>
    </row>
    <row r="48" spans="2:9">
      <c r="B48" s="79" t="str">
        <f>D48</f>
        <v>IS DS Dedicated PMOProject Management.Sr PM - 100142</v>
      </c>
      <c r="C48" s="392"/>
      <c r="D48" s="21" t="s">
        <v>638</v>
      </c>
      <c r="E48" s="22">
        <v>121.6</v>
      </c>
      <c r="F48" s="74">
        <f>VLOOKUP(B48,Input!B:J,9,0)</f>
        <v>124.15</v>
      </c>
      <c r="G48" s="392"/>
      <c r="H48" s="26">
        <f>F48-E48</f>
        <v>2.5500000000000114</v>
      </c>
      <c r="I48" s="75">
        <f>H48/E48</f>
        <v>2.0970394736842198E-2</v>
      </c>
    </row>
    <row r="49" spans="2:9">
      <c r="B49" s="79" t="str">
        <f>D49</f>
        <v>IS DS Dedicated PMOProject Management.PM - 100139</v>
      </c>
      <c r="C49" s="392"/>
      <c r="D49" s="21" t="s">
        <v>639</v>
      </c>
      <c r="E49" s="22">
        <v>87.4</v>
      </c>
      <c r="F49" s="74">
        <f>VLOOKUP(B49,Input!B:J,9,0)</f>
        <v>87.86</v>
      </c>
      <c r="G49" s="392"/>
      <c r="H49" s="26">
        <f>F49-E49</f>
        <v>0.45999999999999375</v>
      </c>
      <c r="I49" s="75">
        <f>H49/E49</f>
        <v>5.26315789473677E-3</v>
      </c>
    </row>
    <row r="50" spans="2:9">
      <c r="B50" s="79" t="str">
        <f>D50</f>
        <v>IS DS Dedicated PMOProject Management.Proj Coor - 100140</v>
      </c>
      <c r="C50" s="392"/>
      <c r="D50" s="21" t="s">
        <v>640</v>
      </c>
      <c r="E50" s="22">
        <v>58.9</v>
      </c>
      <c r="F50" s="74">
        <f>VLOOKUP(B50,Input!B:J,9,0)</f>
        <v>61.12</v>
      </c>
      <c r="G50" s="392"/>
      <c r="H50" s="26">
        <f>F50-E50</f>
        <v>2.2199999999999989</v>
      </c>
      <c r="I50" s="75">
        <f>H50/E50</f>
        <v>3.7691001697792853E-2</v>
      </c>
    </row>
    <row r="51" spans="2:9">
      <c r="B51" s="392"/>
      <c r="C51" s="392"/>
      <c r="D51" s="21"/>
      <c r="E51" s="22"/>
      <c r="F51" s="74"/>
      <c r="G51" s="392"/>
      <c r="H51" s="26"/>
      <c r="I51" s="75"/>
    </row>
    <row r="52" spans="2:9">
      <c r="B52" s="392"/>
      <c r="C52" s="392"/>
      <c r="D52" s="21"/>
      <c r="E52" s="22"/>
      <c r="F52" s="74"/>
      <c r="G52" s="392"/>
      <c r="H52" s="26"/>
      <c r="I52" s="75"/>
    </row>
    <row r="53" spans="2:9">
      <c r="B53" s="392"/>
      <c r="C53" s="392"/>
      <c r="D53" s="21"/>
      <c r="E53" s="22"/>
      <c r="F53" s="74"/>
      <c r="G53" s="392"/>
      <c r="H53" s="26"/>
      <c r="I53" s="75"/>
    </row>
    <row r="54" spans="2:9">
      <c r="B54" s="392"/>
      <c r="C54" s="392"/>
      <c r="D54" s="21"/>
      <c r="E54" s="22"/>
      <c r="F54" s="74"/>
      <c r="G54" s="392"/>
      <c r="H54" s="26"/>
      <c r="I54" s="75"/>
    </row>
    <row r="55" spans="2:9">
      <c r="B55" s="392"/>
      <c r="C55" s="392"/>
      <c r="D55" s="21"/>
      <c r="E55" s="22"/>
      <c r="F55" s="74"/>
      <c r="G55" s="392"/>
      <c r="H55" s="26"/>
      <c r="I55" s="75"/>
    </row>
    <row r="56" spans="2:9">
      <c r="B56" s="392"/>
      <c r="C56" s="392"/>
      <c r="D56" s="46" t="s">
        <v>641</v>
      </c>
      <c r="E56" s="22"/>
      <c r="F56" s="74"/>
      <c r="G56" s="392"/>
      <c r="H56" s="26"/>
      <c r="I56" s="75"/>
    </row>
    <row r="57" spans="2:9">
      <c r="B57" s="392" t="str">
        <f>C57&amp;D57</f>
        <v>IS DS Kaiser Engr DedicatedVoice.Sr Engineer - 100178</v>
      </c>
      <c r="C57" s="73" t="s">
        <v>501</v>
      </c>
      <c r="D57" s="21" t="s">
        <v>616</v>
      </c>
      <c r="E57" s="22">
        <v>129.21</v>
      </c>
      <c r="F57" s="74">
        <f>VLOOKUP(B57,Input!B:J,9,0)</f>
        <v>137.06</v>
      </c>
      <c r="G57" s="392"/>
      <c r="H57" s="26">
        <f>F57-E57</f>
        <v>7.8499999999999943</v>
      </c>
      <c r="I57" s="75">
        <f>H57/E57</f>
        <v>6.0753811624487224E-2</v>
      </c>
    </row>
    <row r="58" spans="2:9">
      <c r="B58" s="392"/>
      <c r="C58" s="392"/>
      <c r="D58" s="21"/>
      <c r="E58" s="22"/>
      <c r="F58" s="74"/>
      <c r="G58" s="392"/>
      <c r="H58" s="26"/>
      <c r="I58" s="75"/>
    </row>
    <row r="59" spans="2:9">
      <c r="B59" s="392" t="str">
        <f>C59&amp;D59</f>
        <v>IS DS Fed HI/APAC EngWireless.Engineer - 100181</v>
      </c>
      <c r="C59" s="73" t="s">
        <v>493</v>
      </c>
      <c r="D59" s="21" t="s">
        <v>642</v>
      </c>
      <c r="E59" s="22">
        <v>138</v>
      </c>
      <c r="F59" s="74">
        <f>VLOOKUP(B59,Input!B:J,9,0)</f>
        <v>158.12</v>
      </c>
      <c r="G59" s="392"/>
      <c r="H59" s="26">
        <f>F59-E59</f>
        <v>20.120000000000005</v>
      </c>
      <c r="I59" s="75">
        <f>H59/E59</f>
        <v>0.14579710144927541</v>
      </c>
    </row>
    <row r="60" spans="2:9">
      <c r="B60" s="392" t="str">
        <f>C60&amp;D60</f>
        <v>IS DS Kaiser Prgm EngR&amp;S.Engineer - 100152</v>
      </c>
      <c r="C60" s="73" t="s">
        <v>503</v>
      </c>
      <c r="D60" s="21" t="s">
        <v>607</v>
      </c>
      <c r="E60" s="22">
        <v>126.5</v>
      </c>
      <c r="F60" s="74">
        <f>VLOOKUP(B60,Input!B:J,9,0)</f>
        <v>133.97999999999999</v>
      </c>
      <c r="G60" s="392"/>
      <c r="H60" s="26">
        <f>F60-E60</f>
        <v>7.4799999999999898</v>
      </c>
      <c r="I60" s="75">
        <f>H60/E60</f>
        <v>5.9130434782608612E-2</v>
      </c>
    </row>
    <row r="61" spans="2:9">
      <c r="B61" s="392" t="str">
        <f>C61&amp;D61</f>
        <v>IS DS Kaiser Engr DedicatedR&amp;S.Engineer - 100152</v>
      </c>
      <c r="C61" s="73" t="s">
        <v>501</v>
      </c>
      <c r="D61" s="21" t="s">
        <v>607</v>
      </c>
      <c r="E61" s="22">
        <v>97.35</v>
      </c>
      <c r="F61" s="74">
        <f>VLOOKUP(B61,Input!B:J,9,0)</f>
        <v>103.24</v>
      </c>
      <c r="G61" s="392"/>
      <c r="H61" s="26">
        <f>F61-E61</f>
        <v>5.8900000000000006</v>
      </c>
      <c r="I61" s="75">
        <f>H61/E61</f>
        <v>6.0503338469440171E-2</v>
      </c>
    </row>
    <row r="62" spans="2:9">
      <c r="B62" s="392" t="str">
        <f>C62&amp;D62</f>
        <v>IS DS Kaiser Prgm EngVoice.Sr Engineer - 100178</v>
      </c>
      <c r="C62" s="72" t="s">
        <v>503</v>
      </c>
      <c r="D62" s="21" t="s">
        <v>616</v>
      </c>
      <c r="E62" s="22">
        <v>167.9</v>
      </c>
      <c r="F62" s="74">
        <f>VLOOKUP(B62,Input!B:J,9,0)</f>
        <v>177.87</v>
      </c>
      <c r="G62" s="392"/>
      <c r="H62" s="26">
        <f>F62-E62</f>
        <v>9.9699999999999989</v>
      </c>
      <c r="I62" s="75">
        <f>H62/E62</f>
        <v>5.938058368076235E-2</v>
      </c>
    </row>
    <row r="63" spans="2:9">
      <c r="B63" s="392"/>
      <c r="C63" s="392"/>
      <c r="D63" s="21"/>
      <c r="E63" s="22"/>
      <c r="F63" s="74"/>
      <c r="G63" s="392"/>
      <c r="H63" s="26"/>
      <c r="I63" s="75"/>
    </row>
    <row r="64" spans="2:9">
      <c r="B64" s="392" t="str">
        <f>C64&amp;D64</f>
        <v>IS DS Fed HI/APAC EngWireless.Engineer - 100181</v>
      </c>
      <c r="C64" s="73" t="s">
        <v>493</v>
      </c>
      <c r="D64" s="21" t="s">
        <v>642</v>
      </c>
      <c r="E64" s="22">
        <v>138</v>
      </c>
      <c r="F64" s="74">
        <f>VLOOKUP(B64,Input!B:J,9,0)</f>
        <v>158.12</v>
      </c>
      <c r="G64" s="392" t="s">
        <v>643</v>
      </c>
      <c r="H64" s="26">
        <f>F64-E64</f>
        <v>20.120000000000005</v>
      </c>
      <c r="I64" s="75">
        <f>H64/E64</f>
        <v>0.14579710144927541</v>
      </c>
    </row>
    <row r="65" spans="2:9">
      <c r="B65" s="392" t="str">
        <f>C65&amp;D65</f>
        <v>IS DS Kaiser PMO DedicatedProject Management.PgM - 100138</v>
      </c>
      <c r="C65" s="73" t="s">
        <v>502</v>
      </c>
      <c r="D65" s="21" t="s">
        <v>644</v>
      </c>
      <c r="E65" s="22">
        <v>132.75</v>
      </c>
      <c r="F65" s="74">
        <f>VLOOKUP(B65,Input!B:J,9,0)</f>
        <v>133.5</v>
      </c>
      <c r="G65" s="392"/>
      <c r="H65" s="26">
        <f>F65-E65</f>
        <v>0.75</v>
      </c>
      <c r="I65" s="75">
        <f>H65/E65</f>
        <v>5.6497175141242938E-3</v>
      </c>
    </row>
    <row r="66" spans="2:9">
      <c r="B66" s="392" t="str">
        <f>C66&amp;D66</f>
        <v>IS DS Kaiser Prgm EngKaiser.Wireless.Technician Prgm Eng 100183</v>
      </c>
      <c r="C66" s="72" t="s">
        <v>503</v>
      </c>
      <c r="D66" s="21" t="s">
        <v>645</v>
      </c>
      <c r="E66" s="22">
        <v>92</v>
      </c>
      <c r="F66" s="77">
        <f>E66</f>
        <v>92</v>
      </c>
      <c r="G66" s="392" t="s">
        <v>609</v>
      </c>
      <c r="H66" s="26">
        <f>F66-E66</f>
        <v>0</v>
      </c>
      <c r="I66" s="75">
        <f>H66/E66</f>
        <v>0</v>
      </c>
    </row>
    <row r="67" spans="2:9">
      <c r="B67" s="392" t="str">
        <f>C67&amp;D67</f>
        <v>IS DS Kaiser PMO DedicatedProject Management.Sr PM - 100142</v>
      </c>
      <c r="C67" s="73" t="s">
        <v>502</v>
      </c>
      <c r="D67" s="21" t="s">
        <v>646</v>
      </c>
      <c r="E67" s="22">
        <v>113.28</v>
      </c>
      <c r="F67" s="74">
        <f>VLOOKUP(B67,Input!B:J,9,0)</f>
        <v>115.7</v>
      </c>
      <c r="G67" s="392"/>
      <c r="H67" s="26">
        <f>F67-E67</f>
        <v>2.4200000000000017</v>
      </c>
      <c r="I67" s="75">
        <f>H67/E67</f>
        <v>2.1362994350282501E-2</v>
      </c>
    </row>
    <row r="68" spans="2:9">
      <c r="B68" s="392"/>
      <c r="C68" s="392"/>
      <c r="D68" s="21"/>
      <c r="E68" s="22"/>
      <c r="F68" s="74"/>
      <c r="G68" s="392"/>
      <c r="H68" s="26"/>
      <c r="I68" s="75"/>
    </row>
    <row r="69" spans="2:9">
      <c r="B69" s="392" t="str">
        <f>C69&amp;D69</f>
        <v>IS DS Kaiser PMO DedicatedProject Management.PM - 100139</v>
      </c>
      <c r="C69" s="73" t="s">
        <v>502</v>
      </c>
      <c r="D69" s="21" t="s">
        <v>647</v>
      </c>
      <c r="E69" s="22">
        <v>81.42</v>
      </c>
      <c r="F69" s="74">
        <f>VLOOKUP(B69,Input!B:J,9,0)</f>
        <v>81.88</v>
      </c>
      <c r="G69" s="392"/>
      <c r="H69" s="26">
        <f>F69-E69</f>
        <v>0.45999999999999375</v>
      </c>
      <c r="I69" s="75">
        <f>H69/E69</f>
        <v>5.6497175141242166E-3</v>
      </c>
    </row>
    <row r="70" spans="2:9">
      <c r="B70" s="392" t="str">
        <f>C70&amp;D70</f>
        <v>IS DS Kaiser Prgm PMOProject Management.PM - 100139</v>
      </c>
      <c r="C70" s="72" t="s">
        <v>504</v>
      </c>
      <c r="D70" s="21" t="s">
        <v>647</v>
      </c>
      <c r="E70" s="22">
        <v>105.34</v>
      </c>
      <c r="F70" s="74">
        <f>VLOOKUP(B70,Input!B:J,9,0)</f>
        <v>105.8</v>
      </c>
      <c r="G70" s="392"/>
      <c r="H70" s="26">
        <f>F70-E70</f>
        <v>0.45999999999999375</v>
      </c>
      <c r="I70" s="75">
        <f>H70/E70</f>
        <v>4.3668122270741766E-3</v>
      </c>
    </row>
    <row r="71" spans="2:9">
      <c r="B71" s="392" t="str">
        <f>C71&amp;D71</f>
        <v>IS DS Kaiser Engr DedicatedR&amp;S.Sr Engineer - 100153</v>
      </c>
      <c r="C71" s="73" t="s">
        <v>501</v>
      </c>
      <c r="D71" s="21" t="s">
        <v>610</v>
      </c>
      <c r="E71" s="22">
        <v>174.8</v>
      </c>
      <c r="F71" s="74">
        <f>VLOOKUP(B71,Input!B:J,9,0)</f>
        <v>142.4</v>
      </c>
      <c r="G71" s="392"/>
      <c r="H71" s="26">
        <f>F71-E71</f>
        <v>-32.400000000000006</v>
      </c>
      <c r="I71" s="75">
        <f>H71/E71</f>
        <v>-0.18535469107551489</v>
      </c>
    </row>
    <row r="72" spans="2:9">
      <c r="B72" s="392"/>
      <c r="C72" s="392"/>
      <c r="D72" s="21"/>
      <c r="E72" s="22"/>
      <c r="F72" s="74"/>
      <c r="G72" s="392"/>
      <c r="H72" s="26"/>
      <c r="I72" s="75"/>
    </row>
    <row r="73" spans="2:9">
      <c r="B73" s="392"/>
      <c r="C73" s="392"/>
      <c r="D73" s="21"/>
      <c r="E73" s="22"/>
      <c r="F73" s="74"/>
      <c r="G73" s="392"/>
      <c r="H73" s="26"/>
      <c r="I73" s="75"/>
    </row>
    <row r="74" spans="2:9">
      <c r="B74" s="392"/>
      <c r="C74" s="392"/>
      <c r="D74" s="21"/>
      <c r="E74" s="22"/>
      <c r="F74" s="74"/>
      <c r="G74" s="392"/>
      <c r="H74" s="26"/>
      <c r="I74" s="75"/>
    </row>
    <row r="75" spans="2:9">
      <c r="B75" s="392" t="str">
        <f>C75&amp;D75</f>
        <v>IS DS Dedicated EngR&amp;S.Engineer - 100152</v>
      </c>
      <c r="C75" s="73" t="s">
        <v>473</v>
      </c>
      <c r="D75" s="21" t="s">
        <v>607</v>
      </c>
      <c r="E75" s="22">
        <v>101.2</v>
      </c>
      <c r="F75" s="74">
        <f>VLOOKUP(B75,Input!B:J,9,0)</f>
        <v>107.3</v>
      </c>
      <c r="G75" s="392"/>
      <c r="H75" s="26">
        <f>F75-E75</f>
        <v>6.0999999999999943</v>
      </c>
      <c r="I75" s="75">
        <f>H75/E75</f>
        <v>6.0276679841897177E-2</v>
      </c>
    </row>
    <row r="76" spans="2:9">
      <c r="B76" s="392"/>
      <c r="C76" s="392"/>
      <c r="D76" s="21"/>
      <c r="E76" s="22"/>
      <c r="F76" s="74"/>
      <c r="G76" s="392"/>
      <c r="H76" s="26"/>
      <c r="I76" s="75"/>
    </row>
    <row r="77" spans="2:9">
      <c r="B77" s="392"/>
      <c r="C77" s="392"/>
      <c r="D77" s="21"/>
      <c r="E77" s="22"/>
      <c r="F77" s="74"/>
      <c r="G77" s="392"/>
      <c r="H77" s="26"/>
      <c r="I77" s="75"/>
    </row>
    <row r="78" spans="2:9">
      <c r="B78" s="392"/>
      <c r="C78" s="392"/>
      <c r="D78" s="46" t="s">
        <v>648</v>
      </c>
      <c r="E78" s="22"/>
      <c r="F78" s="74"/>
      <c r="G78" s="392"/>
      <c r="H78" s="26"/>
      <c r="I78" s="75"/>
    </row>
    <row r="79" spans="2:9">
      <c r="B79" s="392" t="str">
        <f>C79&amp;D79</f>
        <v>IS DS Dedicated PMOProject Management.Sr PM - 100142</v>
      </c>
      <c r="C79" s="72" t="s">
        <v>482</v>
      </c>
      <c r="D79" s="21" t="s">
        <v>646</v>
      </c>
      <c r="E79" s="22">
        <v>120.32</v>
      </c>
      <c r="F79" s="74">
        <f>VLOOKUP(B79,Input!B:J,9,0)</f>
        <v>124.15</v>
      </c>
      <c r="G79" s="392"/>
      <c r="H79" s="26">
        <f>F79-E79</f>
        <v>3.8300000000000125</v>
      </c>
      <c r="I79" s="75">
        <f>H79/E79</f>
        <v>3.183178191489372E-2</v>
      </c>
    </row>
    <row r="80" spans="2:9">
      <c r="B80" s="392" t="str">
        <f>C80&amp;D80</f>
        <v>IS DS CommonSpirit PMOProject Management.PgM - 100138</v>
      </c>
      <c r="C80" s="73" t="s">
        <v>464</v>
      </c>
      <c r="D80" s="21" t="s">
        <v>644</v>
      </c>
      <c r="E80" s="22">
        <v>141</v>
      </c>
      <c r="F80" s="74">
        <f>VLOOKUP(B80,Input!B:J,9,0)</f>
        <v>141.75</v>
      </c>
      <c r="G80" s="392"/>
      <c r="H80" s="26">
        <f>F80-E80</f>
        <v>0.75</v>
      </c>
      <c r="I80" s="75">
        <f>H80/E80</f>
        <v>5.3191489361702126E-3</v>
      </c>
    </row>
    <row r="81" spans="2:9">
      <c r="B81" s="392" t="str">
        <f>C81&amp;D81</f>
        <v>IS DS PMOProject Management.Proj Coor - 100140</v>
      </c>
      <c r="C81" s="72" t="s">
        <v>508</v>
      </c>
      <c r="D81" s="21" t="s">
        <v>649</v>
      </c>
      <c r="E81" s="22">
        <v>58.28</v>
      </c>
      <c r="F81" s="74">
        <f>VLOOKUP(B81,Input!B:J,9,0)</f>
        <v>79.36</v>
      </c>
      <c r="G81" s="392"/>
      <c r="H81" s="26">
        <f>F81-E81</f>
        <v>21.08</v>
      </c>
      <c r="I81" s="75">
        <f>H81/E81</f>
        <v>0.36170212765957444</v>
      </c>
    </row>
    <row r="82" spans="2:9">
      <c r="B82" s="392" t="str">
        <f>C82&amp;D82</f>
        <v>IS DS PMOProject Management.PM - 100139</v>
      </c>
      <c r="C82" s="72" t="s">
        <v>508</v>
      </c>
      <c r="D82" s="21" t="s">
        <v>647</v>
      </c>
      <c r="E82" s="22">
        <v>86.48</v>
      </c>
      <c r="F82" s="74">
        <f>VLOOKUP(B82,Input!B:J,9,0)</f>
        <v>114.08</v>
      </c>
      <c r="G82" s="392"/>
      <c r="H82" s="26">
        <f>F82-E82</f>
        <v>27.599999999999994</v>
      </c>
      <c r="I82" s="75">
        <f>H82/E82</f>
        <v>0.31914893617021267</v>
      </c>
    </row>
    <row r="83" spans="2:9">
      <c r="B83" s="392"/>
      <c r="C83" s="392"/>
      <c r="D83" s="46"/>
      <c r="E83" s="22"/>
      <c r="F83" s="74"/>
      <c r="G83" s="392"/>
      <c r="H83" s="26"/>
      <c r="I83" s="75"/>
    </row>
    <row r="84" spans="2:9">
      <c r="B84" s="392"/>
      <c r="C84" s="392"/>
      <c r="D84" s="21"/>
      <c r="E84" s="22"/>
      <c r="F84" s="74"/>
      <c r="G84" s="392"/>
      <c r="H84" s="26"/>
      <c r="I84" s="75"/>
    </row>
    <row r="85" spans="2:9">
      <c r="B85" s="392"/>
      <c r="C85" s="392"/>
      <c r="D85" s="21"/>
      <c r="E85" s="22"/>
      <c r="F85" s="74"/>
      <c r="G85" s="392"/>
      <c r="H85" s="26"/>
      <c r="I85" s="75"/>
    </row>
    <row r="86" spans="2:9">
      <c r="B86" s="392"/>
      <c r="C86" s="392"/>
      <c r="D86" s="46" t="s">
        <v>650</v>
      </c>
      <c r="E86" s="22"/>
      <c r="F86" s="74"/>
      <c r="G86" s="392"/>
      <c r="H86" s="26"/>
      <c r="I86" s="75"/>
    </row>
    <row r="87" spans="2:9">
      <c r="B87" s="392" t="str">
        <f>C87&amp;D87</f>
        <v>IS DS Domain ArchitectsData Center.Architect - 100080</v>
      </c>
      <c r="C87" s="72" t="s">
        <v>483</v>
      </c>
      <c r="D87" s="21" t="s">
        <v>651</v>
      </c>
      <c r="E87" s="22">
        <v>202.54</v>
      </c>
      <c r="F87" s="74">
        <f>VLOOKUP(B87,Input!B:J,9,0)</f>
        <v>210.8</v>
      </c>
      <c r="G87" s="392"/>
      <c r="H87" s="26">
        <f>F87-E87</f>
        <v>8.2600000000000193</v>
      </c>
      <c r="I87" s="75">
        <f>H87/E87</f>
        <v>4.0782067739705836E-2</v>
      </c>
    </row>
    <row r="88" spans="2:9">
      <c r="B88" s="392" t="str">
        <f>C88&amp;D88</f>
        <v>IS DS Domain ArchitectsEnterprise.Architect - 100108</v>
      </c>
      <c r="C88" s="72" t="s">
        <v>483</v>
      </c>
      <c r="D88" s="21" t="s">
        <v>635</v>
      </c>
      <c r="E88" s="22">
        <v>205.01</v>
      </c>
      <c r="F88" s="77">
        <f>E88</f>
        <v>205.01</v>
      </c>
      <c r="G88" s="392" t="s">
        <v>609</v>
      </c>
      <c r="H88" s="26">
        <f>F88-E88</f>
        <v>0</v>
      </c>
      <c r="I88" s="75">
        <f>H88/E88</f>
        <v>0</v>
      </c>
    </row>
    <row r="89" spans="2:9">
      <c r="B89" s="392" t="str">
        <f>C89&amp;D89</f>
        <v>IS DS Domain ArchitectsR&amp;S.Architect - 100151</v>
      </c>
      <c r="C89" s="72" t="s">
        <v>483</v>
      </c>
      <c r="D89" s="21" t="s">
        <v>652</v>
      </c>
      <c r="E89" s="22">
        <v>207.48</v>
      </c>
      <c r="F89" s="74">
        <f>VLOOKUP(B89,Input!B:J,9,0)</f>
        <v>215.76</v>
      </c>
      <c r="G89" s="392"/>
      <c r="H89" s="26">
        <f>F89-E89</f>
        <v>8.2800000000000011</v>
      </c>
      <c r="I89" s="75">
        <f>H89/E89</f>
        <v>3.9907460960092546E-2</v>
      </c>
    </row>
    <row r="90" spans="2:9">
      <c r="B90" s="392" t="str">
        <f>C90&amp;D90</f>
        <v>IS DS AutomationAutomation.Architect - 100262</v>
      </c>
      <c r="C90" s="72" t="s">
        <v>460</v>
      </c>
      <c r="D90" s="21" t="s">
        <v>653</v>
      </c>
      <c r="E90" s="22">
        <v>222.3</v>
      </c>
      <c r="F90" s="74">
        <f>VLOOKUP(B90,Input!B:J,9,0)</f>
        <v>218.7</v>
      </c>
      <c r="G90" s="392"/>
      <c r="H90" s="26">
        <f>F90-E90</f>
        <v>-3.6000000000000227</v>
      </c>
      <c r="I90" s="75">
        <f>H90/E90</f>
        <v>-1.6194331983805769E-2</v>
      </c>
    </row>
    <row r="91" spans="2:9">
      <c r="B91" s="392"/>
      <c r="C91" s="392"/>
      <c r="D91" s="21"/>
      <c r="E91" s="22"/>
      <c r="F91" s="74"/>
      <c r="G91" s="392"/>
      <c r="H91" s="26"/>
      <c r="I91" s="75"/>
    </row>
    <row r="92" spans="2:9">
      <c r="B92" s="392" t="str">
        <f>C92&amp;D92</f>
        <v>IS DS Domain ArchitectsSecurity.Architect - 100155</v>
      </c>
      <c r="C92" s="72" t="s">
        <v>483</v>
      </c>
      <c r="D92" s="21" t="s">
        <v>654</v>
      </c>
      <c r="E92" s="22">
        <v>195.13</v>
      </c>
      <c r="F92" s="74">
        <f>VLOOKUP(B92,Input!B:J,9,0)</f>
        <v>220.72</v>
      </c>
      <c r="G92" s="392"/>
      <c r="H92" s="26">
        <f>F92-E92</f>
        <v>25.590000000000003</v>
      </c>
      <c r="I92" s="75">
        <f>H92/E92</f>
        <v>0.13114334033721112</v>
      </c>
    </row>
    <row r="93" spans="2:9">
      <c r="B93" s="392" t="str">
        <f>C93&amp;D93</f>
        <v>IS DS EngineeringVoice.Sr Engineer UCCE - 100179</v>
      </c>
      <c r="C93" s="73" t="s">
        <v>487</v>
      </c>
      <c r="D93" s="21" t="s">
        <v>615</v>
      </c>
      <c r="E93" s="22">
        <v>212.42</v>
      </c>
      <c r="F93" s="74">
        <f>VLOOKUP(B93,Input!B:J,9,0)</f>
        <v>213.6</v>
      </c>
      <c r="G93" s="392"/>
      <c r="H93" s="26">
        <f>F93-E93</f>
        <v>1.1800000000000068</v>
      </c>
      <c r="I93" s="75">
        <f>H93/E93</f>
        <v>5.5550324828170933E-3</v>
      </c>
    </row>
    <row r="94" spans="2:9">
      <c r="B94" s="392" t="str">
        <f>C94&amp;D94</f>
        <v>IS DS Domain ArchitectsOptical.Architect - 100282</v>
      </c>
      <c r="C94" s="72" t="s">
        <v>483</v>
      </c>
      <c r="D94" s="21" t="s">
        <v>655</v>
      </c>
      <c r="E94" s="22">
        <v>174.47</v>
      </c>
      <c r="F94" s="74">
        <f>VLOOKUP(B94,Input!B:J,9,0)</f>
        <v>195.92</v>
      </c>
      <c r="G94" s="392"/>
      <c r="H94" s="26">
        <f>F94-E94</f>
        <v>21.449999999999989</v>
      </c>
      <c r="I94" s="75">
        <f>H94/E94</f>
        <v>0.12294377256834979</v>
      </c>
    </row>
    <row r="95" spans="2:9">
      <c r="B95" s="392" t="str">
        <f>C95&amp;D95</f>
        <v>IS DS Domain ArchitectsVoice.Architect - 100176</v>
      </c>
      <c r="C95" s="72" t="s">
        <v>483</v>
      </c>
      <c r="D95" s="21" t="s">
        <v>656</v>
      </c>
      <c r="E95" s="22">
        <v>182.25</v>
      </c>
      <c r="F95" s="74">
        <f>VLOOKUP(B95,Input!B:J,9,0)</f>
        <v>220.72</v>
      </c>
      <c r="G95" s="392"/>
      <c r="H95" s="26">
        <f>F95-E95</f>
        <v>38.47</v>
      </c>
      <c r="I95" s="75">
        <f>H95/E95</f>
        <v>0.21108367626886146</v>
      </c>
    </row>
    <row r="97" spans="2:9">
      <c r="B97" s="392"/>
      <c r="C97" s="392"/>
      <c r="D97" s="46" t="s">
        <v>657</v>
      </c>
      <c r="E97" s="22"/>
      <c r="F97" s="74"/>
      <c r="G97" s="392"/>
      <c r="H97" s="26"/>
      <c r="I97" s="75"/>
    </row>
    <row r="98" spans="2:9">
      <c r="B98" s="79" t="str">
        <f>D98</f>
        <v>CS BAA Business DevelopmentBAA.Analyst - 100030</v>
      </c>
      <c r="C98" s="73" t="s">
        <v>403</v>
      </c>
      <c r="D98" s="21" t="s">
        <v>658</v>
      </c>
      <c r="E98" s="22">
        <v>94.47</v>
      </c>
      <c r="F98" s="74">
        <f>VLOOKUP(B98,Input!B:J,9,0)</f>
        <v>101</v>
      </c>
      <c r="G98" s="392" t="s">
        <v>659</v>
      </c>
      <c r="H98" s="26">
        <f t="shared" ref="H98:H104" si="9">F98-E98</f>
        <v>6.5300000000000011</v>
      </c>
      <c r="I98" s="75">
        <f t="shared" ref="I98:I104" si="10">H98/E98</f>
        <v>6.9122472742669638E-2</v>
      </c>
    </row>
    <row r="99" spans="2:9">
      <c r="B99" s="392" t="str">
        <f t="shared" ref="B99:B104" si="11">C99&amp;D99</f>
        <v>CS BAA Engagement MgtCS BAA Buisness DevelopmentBAA Engagement Manager - 100033</v>
      </c>
      <c r="C99" s="72" t="s">
        <v>411</v>
      </c>
      <c r="D99" s="21" t="s">
        <v>660</v>
      </c>
      <c r="E99" s="22">
        <v>190.95</v>
      </c>
      <c r="F99" s="77">
        <f>E99</f>
        <v>190.95</v>
      </c>
      <c r="G99" s="392" t="s">
        <v>609</v>
      </c>
      <c r="H99" s="26">
        <f t="shared" si="9"/>
        <v>0</v>
      </c>
      <c r="I99" s="75">
        <f t="shared" si="10"/>
        <v>0</v>
      </c>
    </row>
    <row r="100" spans="2:9">
      <c r="B100" s="392" t="str">
        <f t="shared" si="11"/>
        <v>CS BAA Business DevelopmentBAA.Managing Director - 100035</v>
      </c>
      <c r="C100" s="73" t="s">
        <v>403</v>
      </c>
      <c r="D100" s="21" t="s">
        <v>661</v>
      </c>
      <c r="E100" s="22">
        <v>243.21</v>
      </c>
      <c r="F100" s="74">
        <f>VLOOKUP(B100,Input!B:J,9,0)</f>
        <v>280.77999999999997</v>
      </c>
      <c r="G100" s="392"/>
      <c r="H100" s="26">
        <f t="shared" si="9"/>
        <v>37.569999999999965</v>
      </c>
      <c r="I100" s="75">
        <f t="shared" si="10"/>
        <v>0.15447555610377847</v>
      </c>
    </row>
    <row r="101" spans="2:9">
      <c r="B101" s="392" t="str">
        <f t="shared" si="11"/>
        <v>CS BAA ConsultantsBAA.Analyst - 100030</v>
      </c>
      <c r="C101" s="73" t="s">
        <v>408</v>
      </c>
      <c r="D101" s="21" t="s">
        <v>662</v>
      </c>
      <c r="E101" s="22">
        <v>98.23</v>
      </c>
      <c r="F101" s="74">
        <f>VLOOKUP(B101,Input!B:J,9,0)</f>
        <v>105</v>
      </c>
      <c r="G101" s="392"/>
      <c r="H101" s="26">
        <f t="shared" si="9"/>
        <v>6.769999999999996</v>
      </c>
      <c r="I101" s="75">
        <f t="shared" si="10"/>
        <v>6.8919881909803485E-2</v>
      </c>
    </row>
    <row r="102" spans="2:9">
      <c r="B102" s="392" t="str">
        <f t="shared" si="11"/>
        <v>CS BAA ConsultantsBAA.Consultant - 100031</v>
      </c>
      <c r="C102" s="73" t="s">
        <v>408</v>
      </c>
      <c r="D102" s="21" t="s">
        <v>663</v>
      </c>
      <c r="E102" s="22">
        <v>131.66999999999999</v>
      </c>
      <c r="F102" s="74">
        <f>VLOOKUP(B102,Input!B:J,9,0)</f>
        <v>140.69999999999999</v>
      </c>
      <c r="G102" s="392"/>
      <c r="H102" s="26">
        <f t="shared" si="9"/>
        <v>9.0300000000000011</v>
      </c>
      <c r="I102" s="75">
        <f t="shared" si="10"/>
        <v>6.8580542264752811E-2</v>
      </c>
    </row>
    <row r="103" spans="2:9">
      <c r="B103" s="392" t="str">
        <f t="shared" si="11"/>
        <v>CS BAA ConsultantsBAA.Data Scientist - 100032</v>
      </c>
      <c r="C103" s="73" t="s">
        <v>408</v>
      </c>
      <c r="D103" s="21" t="s">
        <v>664</v>
      </c>
      <c r="E103" s="22">
        <v>125.4</v>
      </c>
      <c r="F103" s="74">
        <f>VLOOKUP(B103,Input!B:J,9,0)</f>
        <v>134.4</v>
      </c>
      <c r="G103" s="392"/>
      <c r="H103" s="26">
        <f t="shared" si="9"/>
        <v>9</v>
      </c>
      <c r="I103" s="75">
        <f t="shared" si="10"/>
        <v>7.1770334928229665E-2</v>
      </c>
    </row>
    <row r="104" spans="2:9">
      <c r="B104" s="392" t="str">
        <f t="shared" si="11"/>
        <v>CS BAA Engagement MgtBAA.Engagement Manager - 100033</v>
      </c>
      <c r="C104" s="72" t="s">
        <v>411</v>
      </c>
      <c r="D104" s="21" t="s">
        <v>665</v>
      </c>
      <c r="E104" s="22">
        <v>201.4</v>
      </c>
      <c r="F104" s="74">
        <f>VLOOKUP(B104,Input!B:J,9,0)</f>
        <v>208.74</v>
      </c>
      <c r="G104" s="392"/>
      <c r="H104" s="26">
        <f t="shared" si="9"/>
        <v>7.3400000000000034</v>
      </c>
      <c r="I104" s="75">
        <f t="shared" si="10"/>
        <v>3.6444885799404185E-2</v>
      </c>
    </row>
    <row r="105" spans="2:9">
      <c r="B105" s="392"/>
      <c r="C105" s="392"/>
      <c r="D105" s="21"/>
      <c r="E105" s="22"/>
      <c r="F105" s="74"/>
      <c r="G105" s="392"/>
      <c r="H105" s="26"/>
      <c r="I105" s="75"/>
    </row>
    <row r="106" spans="2:9">
      <c r="B106" s="392" t="str">
        <f t="shared" ref="B106:B111" si="12">C106&amp;D106</f>
        <v>CS Cloud.Business Development - 100275</v>
      </c>
      <c r="C106" s="392"/>
      <c r="D106" s="21" t="s">
        <v>666</v>
      </c>
      <c r="E106" s="22">
        <v>162</v>
      </c>
      <c r="F106" s="77">
        <f>E106</f>
        <v>162</v>
      </c>
      <c r="G106" s="392" t="s">
        <v>609</v>
      </c>
      <c r="H106" s="26">
        <f t="shared" ref="H106:H111" si="13">F106-E106</f>
        <v>0</v>
      </c>
      <c r="I106" s="75">
        <f t="shared" ref="I106:I111" si="14">H106/E106</f>
        <v>0</v>
      </c>
    </row>
    <row r="107" spans="2:9">
      <c r="B107" s="392" t="str">
        <f t="shared" si="12"/>
        <v>CS Cloud.Consultant Dedicated - 100049</v>
      </c>
      <c r="C107" s="392"/>
      <c r="D107" s="21" t="s">
        <v>667</v>
      </c>
      <c r="E107" s="22">
        <v>150.22999999999999</v>
      </c>
      <c r="F107" s="77">
        <f>E107</f>
        <v>150.22999999999999</v>
      </c>
      <c r="G107" s="392" t="s">
        <v>609</v>
      </c>
      <c r="H107" s="26">
        <f t="shared" si="13"/>
        <v>0</v>
      </c>
      <c r="I107" s="75">
        <f t="shared" si="14"/>
        <v>0</v>
      </c>
    </row>
    <row r="108" spans="2:9">
      <c r="B108" s="392" t="str">
        <f t="shared" si="12"/>
        <v>CS Cloud Transition OverheadCloud.Management - 100052</v>
      </c>
      <c r="C108" s="72" t="s">
        <v>431</v>
      </c>
      <c r="D108" s="21" t="s">
        <v>668</v>
      </c>
      <c r="E108" s="22">
        <v>198</v>
      </c>
      <c r="F108" s="74">
        <f>VLOOKUP(B108,Input!B:J,9,0)</f>
        <v>229.5</v>
      </c>
      <c r="G108" s="392"/>
      <c r="H108" s="26">
        <f t="shared" si="13"/>
        <v>31.5</v>
      </c>
      <c r="I108" s="75">
        <f t="shared" si="14"/>
        <v>0.15909090909090909</v>
      </c>
    </row>
    <row r="109" spans="2:9">
      <c r="B109" s="392" t="str">
        <f t="shared" si="12"/>
        <v>CS Cloud Transition BillableCloud.PlatformArchitect - 100053</v>
      </c>
      <c r="C109" s="72" t="s">
        <v>429</v>
      </c>
      <c r="D109" s="21" t="s">
        <v>669</v>
      </c>
      <c r="E109" s="22">
        <v>185.65</v>
      </c>
      <c r="F109" s="74">
        <f>VLOOKUP(B109,Input!B:J,9,0)</f>
        <v>186.44</v>
      </c>
      <c r="G109" s="392"/>
      <c r="H109" s="26">
        <f t="shared" si="13"/>
        <v>0.78999999999999204</v>
      </c>
      <c r="I109" s="75">
        <f t="shared" si="14"/>
        <v>4.2553191489361269E-3</v>
      </c>
    </row>
    <row r="110" spans="2:9">
      <c r="B110" s="392" t="str">
        <f t="shared" si="12"/>
        <v>CS Cloud Transition OverheadCloud.Practice Lead - 100278</v>
      </c>
      <c r="C110" s="72" t="s">
        <v>431</v>
      </c>
      <c r="D110" s="21" t="s">
        <v>670</v>
      </c>
      <c r="E110" s="22">
        <v>195.05</v>
      </c>
      <c r="F110" s="74">
        <f>VLOOKUP(B110,Input!B:J,9,0)</f>
        <v>186.75</v>
      </c>
      <c r="G110" s="392"/>
      <c r="H110" s="26">
        <f t="shared" si="13"/>
        <v>-8.3000000000000114</v>
      </c>
      <c r="I110" s="75">
        <f t="shared" si="14"/>
        <v>-4.2553191489361757E-2</v>
      </c>
    </row>
    <row r="111" spans="2:9">
      <c r="B111" s="392" t="str">
        <f t="shared" si="12"/>
        <v>CS Cloud Solutions ArchitectsCloud.Solutions Architect - 100276</v>
      </c>
      <c r="C111" s="73" t="s">
        <v>422</v>
      </c>
      <c r="D111" s="21" t="s">
        <v>671</v>
      </c>
      <c r="E111" s="22">
        <v>180.95</v>
      </c>
      <c r="F111" s="74">
        <f>VLOOKUP(B111,Input!B:J,9,0)</f>
        <v>217.12</v>
      </c>
      <c r="G111" s="392"/>
      <c r="H111" s="26">
        <f t="shared" si="13"/>
        <v>36.170000000000016</v>
      </c>
      <c r="I111" s="75">
        <f t="shared" si="14"/>
        <v>0.19988947222989786</v>
      </c>
    </row>
    <row r="117" spans="2:9">
      <c r="B117" s="392"/>
      <c r="C117" s="392"/>
      <c r="D117" s="46" t="s">
        <v>672</v>
      </c>
      <c r="E117" s="22"/>
      <c r="F117" s="74"/>
      <c r="G117" s="392"/>
      <c r="H117" s="26"/>
      <c r="I117" s="75"/>
    </row>
    <row r="118" spans="2:9">
      <c r="B118" s="392"/>
      <c r="C118" s="392"/>
      <c r="D118" s="21" t="s">
        <v>673</v>
      </c>
      <c r="E118" s="22"/>
      <c r="F118" s="74"/>
      <c r="G118" s="392"/>
      <c r="H118" s="26"/>
      <c r="I118" s="75"/>
    </row>
    <row r="119" spans="2:9">
      <c r="B119" s="392"/>
      <c r="C119" s="392"/>
      <c r="D119" s="21"/>
      <c r="E119" s="22"/>
      <c r="F119" s="74"/>
      <c r="G119" s="392"/>
      <c r="H119" s="26"/>
      <c r="I119" s="75"/>
    </row>
    <row r="120" spans="2:9">
      <c r="B120" s="79" t="str">
        <f>D120</f>
        <v>CS BAA TechnicalBAA.Engineer - 100034</v>
      </c>
      <c r="C120" s="72" t="s">
        <v>415</v>
      </c>
      <c r="D120" s="21" t="s">
        <v>674</v>
      </c>
      <c r="E120" s="22">
        <v>149.25</v>
      </c>
      <c r="F120" s="74">
        <f>VLOOKUP(B120,Input!B:J,9,0)</f>
        <v>150</v>
      </c>
      <c r="G120" s="392"/>
      <c r="H120" s="26">
        <f>F120-E120</f>
        <v>0.75</v>
      </c>
      <c r="I120" s="75">
        <f>H120/E120</f>
        <v>5.0251256281407036E-3</v>
      </c>
    </row>
    <row r="121" spans="2:9">
      <c r="B121" s="79" t="str">
        <f>D121</f>
        <v>CS BAA TechnicalBAA.Sr Engineer - 100036</v>
      </c>
      <c r="C121" s="72" t="s">
        <v>415</v>
      </c>
      <c r="D121" s="21" t="s">
        <v>675</v>
      </c>
      <c r="E121" s="22">
        <v>252.73</v>
      </c>
      <c r="F121" s="74">
        <f>VLOOKUP(B121,Input!B:J,9,0)</f>
        <v>254</v>
      </c>
      <c r="G121" s="392"/>
      <c r="H121" s="26">
        <f>F121-E121</f>
        <v>1.2700000000000102</v>
      </c>
      <c r="I121" s="75">
        <f>H121/E121</f>
        <v>5.0251256281407444E-3</v>
      </c>
    </row>
    <row r="122" spans="2:9">
      <c r="B122" s="392"/>
      <c r="C122" s="392"/>
      <c r="D122" s="46" t="s">
        <v>676</v>
      </c>
      <c r="E122" s="22"/>
      <c r="F122" s="74"/>
      <c r="G122" s="392"/>
      <c r="H122" s="26"/>
      <c r="I122" s="75"/>
    </row>
    <row r="123" spans="2:9">
      <c r="B123" s="392" t="str">
        <f>C123&amp;D123</f>
        <v>IS DS Strategic Pgm MgmtProject Management.PgM - 100138</v>
      </c>
      <c r="C123" s="73" t="s">
        <v>512</v>
      </c>
      <c r="D123" s="21" t="s">
        <v>644</v>
      </c>
      <c r="E123" s="22">
        <v>142.5</v>
      </c>
      <c r="F123" s="74">
        <f>VLOOKUP(B123,Input!B:J,9,0)</f>
        <v>143.25</v>
      </c>
      <c r="G123" s="392"/>
      <c r="H123" s="26">
        <f>F123-E123</f>
        <v>0.75</v>
      </c>
      <c r="I123" s="75">
        <f>H123/E123</f>
        <v>5.263157894736842E-3</v>
      </c>
    </row>
    <row r="124" spans="2:9">
      <c r="B124" s="392" t="str">
        <f>C124&amp;D124</f>
        <v>IS DS Strategic Pgm MgmtProject Management.Sr PM - 100142</v>
      </c>
      <c r="C124" s="73" t="s">
        <v>512</v>
      </c>
      <c r="D124" s="21" t="s">
        <v>646</v>
      </c>
      <c r="E124" s="22">
        <v>121.6</v>
      </c>
      <c r="F124" s="74">
        <f>VLOOKUP(B124,Input!B:J,9,0)</f>
        <v>124.15</v>
      </c>
      <c r="G124" s="392"/>
      <c r="H124" s="26">
        <f>F124-E124</f>
        <v>2.5500000000000114</v>
      </c>
      <c r="I124" s="75">
        <f>H124/E124</f>
        <v>2.0970394736842198E-2</v>
      </c>
    </row>
    <row r="125" spans="2:9">
      <c r="B125" s="392" t="str">
        <f>C125&amp;D125</f>
        <v>IS DS Strategic Pgm MgmtProject Management.Program Director - 100238</v>
      </c>
      <c r="C125" s="73" t="s">
        <v>512</v>
      </c>
      <c r="D125" s="21" t="s">
        <v>677</v>
      </c>
      <c r="E125" s="22">
        <v>191.9</v>
      </c>
      <c r="F125" s="74">
        <f>VLOOKUP(B125,Input!B:J,9,0)</f>
        <v>200.55</v>
      </c>
      <c r="G125" s="392"/>
      <c r="H125" s="26">
        <f>F125-E125</f>
        <v>8.6500000000000057</v>
      </c>
      <c r="I125" s="75">
        <f>H125/E125</f>
        <v>4.5075560187597737E-2</v>
      </c>
    </row>
    <row r="126" spans="2:9">
      <c r="B126" s="392"/>
      <c r="C126" s="392"/>
      <c r="D126" s="21"/>
      <c r="E126" s="22"/>
      <c r="F126" s="74"/>
      <c r="G126" s="392"/>
      <c r="H126" s="26"/>
      <c r="I126" s="75"/>
    </row>
    <row r="127" spans="2:9">
      <c r="B127" s="392"/>
      <c r="C127" s="392"/>
      <c r="D127" s="46" t="s">
        <v>678</v>
      </c>
      <c r="E127" s="22"/>
      <c r="F127" s="74"/>
      <c r="G127" s="392"/>
      <c r="H127" s="26"/>
      <c r="I127" s="75"/>
    </row>
    <row r="128" spans="2:9">
      <c r="B128" s="392" t="str">
        <f>C128&amp;D128</f>
        <v>IS DS PMOProject Management.PgM - 100138</v>
      </c>
      <c r="C128" s="72" t="s">
        <v>508</v>
      </c>
      <c r="D128" s="21" t="s">
        <v>644</v>
      </c>
      <c r="E128" s="22">
        <v>185.25</v>
      </c>
      <c r="F128" s="74">
        <f>VLOOKUP(B128,Input!B:J,9,0)</f>
        <v>186</v>
      </c>
      <c r="G128" s="392"/>
      <c r="H128" s="26">
        <f>F128-E128</f>
        <v>0.75</v>
      </c>
      <c r="I128" s="75">
        <f>H128/E128</f>
        <v>4.048582995951417E-3</v>
      </c>
    </row>
    <row r="129" spans="2:9">
      <c r="B129" s="392" t="str">
        <f>C129&amp;D129</f>
        <v>IS DS PMOProject Management.Sr PM - 100142</v>
      </c>
      <c r="C129" s="72" t="s">
        <v>508</v>
      </c>
      <c r="D129" s="21" t="s">
        <v>646</v>
      </c>
      <c r="E129" s="22">
        <v>158.08000000000001</v>
      </c>
      <c r="F129" s="74">
        <f>VLOOKUP(B129,Input!B:J,9,0)</f>
        <v>161.19999999999999</v>
      </c>
      <c r="G129" s="392"/>
      <c r="H129" s="26">
        <f>F129-E129</f>
        <v>3.1199999999999761</v>
      </c>
      <c r="I129" s="75">
        <f>H129/E129</f>
        <v>1.9736842105263004E-2</v>
      </c>
    </row>
    <row r="130" spans="2:9">
      <c r="B130" s="392" t="str">
        <f>C130&amp;D130</f>
        <v>IS DS PMOProject Management.PM - 100139</v>
      </c>
      <c r="C130" s="72" t="s">
        <v>508</v>
      </c>
      <c r="D130" s="21" t="s">
        <v>647</v>
      </c>
      <c r="E130" s="22">
        <v>113.62</v>
      </c>
      <c r="F130" s="74">
        <f>VLOOKUP(B130,Input!B:J,9,0)</f>
        <v>114.08</v>
      </c>
      <c r="G130" s="392"/>
      <c r="H130" s="26">
        <f>F130-E130</f>
        <v>0.45999999999999375</v>
      </c>
      <c r="I130" s="75">
        <f>H130/E130</f>
        <v>4.0485829959513615E-3</v>
      </c>
    </row>
    <row r="131" spans="2:9">
      <c r="B131" s="392" t="str">
        <f>C131&amp;D131</f>
        <v>IS DS PMOProject Management.Proj Coor - 100140</v>
      </c>
      <c r="C131" s="72" t="s">
        <v>508</v>
      </c>
      <c r="D131" s="21" t="s">
        <v>649</v>
      </c>
      <c r="E131" s="22">
        <v>76.569999999999993</v>
      </c>
      <c r="F131" s="74">
        <f>VLOOKUP(B131,Input!B:J,9,0)</f>
        <v>79.36</v>
      </c>
      <c r="G131" s="392"/>
      <c r="H131" s="26">
        <f>F131-E131</f>
        <v>2.7900000000000063</v>
      </c>
      <c r="I131" s="75">
        <f>H131/E131</f>
        <v>3.643724696356284E-2</v>
      </c>
    </row>
    <row r="132" spans="2:9">
      <c r="B132" s="392"/>
      <c r="C132" s="392"/>
      <c r="D132" s="21"/>
      <c r="E132" s="22"/>
      <c r="F132" s="74"/>
      <c r="G132" s="392"/>
      <c r="H132" s="26"/>
      <c r="I132" s="75"/>
    </row>
    <row r="133" spans="2:9">
      <c r="B133" s="392"/>
      <c r="C133" s="392"/>
      <c r="D133" s="21"/>
      <c r="E133" s="22"/>
      <c r="F133" s="74"/>
      <c r="G133" s="392"/>
      <c r="H133" s="26"/>
      <c r="I133" s="75"/>
    </row>
    <row r="134" spans="2:9">
      <c r="B134" s="392"/>
      <c r="C134" s="392"/>
      <c r="D134" s="46" t="s">
        <v>679</v>
      </c>
      <c r="E134" s="22"/>
      <c r="F134" s="74"/>
      <c r="G134" s="392"/>
      <c r="H134" s="26"/>
      <c r="I134" s="75"/>
    </row>
    <row r="135" spans="2:9">
      <c r="B135" s="392"/>
      <c r="C135" s="392"/>
      <c r="D135" s="21" t="s">
        <v>680</v>
      </c>
      <c r="E135" s="22"/>
      <c r="F135" s="74"/>
      <c r="G135" s="392"/>
      <c r="H135" s="26"/>
      <c r="I135" s="75"/>
    </row>
    <row r="136" spans="2:9">
      <c r="B136" s="392"/>
      <c r="C136" s="392"/>
      <c r="D136" s="46"/>
      <c r="E136" s="22"/>
      <c r="F136" s="74"/>
      <c r="G136" s="392"/>
      <c r="H136" s="26"/>
      <c r="I136" s="75"/>
    </row>
    <row r="137" spans="2:9">
      <c r="B137" s="392"/>
      <c r="C137" s="392"/>
      <c r="D137" s="21"/>
      <c r="E137" s="22"/>
      <c r="F137" s="74"/>
      <c r="G137" s="392"/>
      <c r="H137" s="26"/>
      <c r="I137" s="75"/>
    </row>
    <row r="138" spans="2:9">
      <c r="B138" s="392"/>
      <c r="C138" s="392"/>
      <c r="D138" s="70" t="s">
        <v>681</v>
      </c>
      <c r="E138" s="71"/>
      <c r="F138" s="74"/>
      <c r="G138" s="392"/>
      <c r="H138" s="26"/>
      <c r="I138" s="75"/>
    </row>
    <row r="139" spans="2:9">
      <c r="B139" s="392"/>
      <c r="C139" s="392"/>
      <c r="D139" s="80" t="s">
        <v>682</v>
      </c>
      <c r="E139" s="22">
        <v>119.7</v>
      </c>
      <c r="F139" s="74">
        <v>130.68</v>
      </c>
      <c r="G139" s="392" t="s">
        <v>683</v>
      </c>
      <c r="H139" s="26">
        <f t="shared" ref="H139:H153" si="15">F139-E139</f>
        <v>10.980000000000004</v>
      </c>
      <c r="I139" s="75">
        <f t="shared" ref="I139:I153" si="16">H139/E139</f>
        <v>9.1729323308270702E-2</v>
      </c>
    </row>
    <row r="140" spans="2:9">
      <c r="B140" s="392"/>
      <c r="C140" s="392"/>
      <c r="D140" s="80" t="s">
        <v>684</v>
      </c>
      <c r="E140" s="62">
        <v>215.84</v>
      </c>
      <c r="F140" s="77">
        <f>E140</f>
        <v>215.84</v>
      </c>
      <c r="G140" s="392" t="s">
        <v>609</v>
      </c>
      <c r="H140" s="26">
        <f t="shared" si="15"/>
        <v>0</v>
      </c>
      <c r="I140" s="75">
        <f t="shared" si="16"/>
        <v>0</v>
      </c>
    </row>
    <row r="141" spans="2:9">
      <c r="B141" s="392"/>
      <c r="C141" s="392"/>
      <c r="D141" s="80" t="s">
        <v>685</v>
      </c>
      <c r="E141" s="22">
        <v>174.3</v>
      </c>
      <c r="F141" s="77">
        <f>E141</f>
        <v>174.3</v>
      </c>
      <c r="G141" s="392" t="s">
        <v>609</v>
      </c>
      <c r="H141" s="26">
        <f t="shared" si="15"/>
        <v>0</v>
      </c>
      <c r="I141" s="75">
        <f t="shared" si="16"/>
        <v>0</v>
      </c>
    </row>
    <row r="142" spans="2:9">
      <c r="B142" s="392"/>
      <c r="C142" s="392"/>
      <c r="D142" s="80" t="s">
        <v>686</v>
      </c>
      <c r="E142" s="22">
        <v>128.25</v>
      </c>
      <c r="F142" s="77">
        <f>E142</f>
        <v>128.25</v>
      </c>
      <c r="G142" s="392" t="s">
        <v>609</v>
      </c>
      <c r="H142" s="26">
        <f t="shared" si="15"/>
        <v>0</v>
      </c>
      <c r="I142" s="75">
        <f t="shared" si="16"/>
        <v>0</v>
      </c>
    </row>
    <row r="143" spans="2:9">
      <c r="B143" s="392"/>
      <c r="C143" s="392"/>
      <c r="D143" s="80" t="s">
        <v>687</v>
      </c>
      <c r="E143" s="22">
        <v>213.75</v>
      </c>
      <c r="F143" s="74">
        <v>245.25</v>
      </c>
      <c r="G143" s="392" t="s">
        <v>683</v>
      </c>
      <c r="H143" s="26">
        <f t="shared" si="15"/>
        <v>31.5</v>
      </c>
      <c r="I143" s="75">
        <f t="shared" si="16"/>
        <v>0.14736842105263157</v>
      </c>
    </row>
    <row r="144" spans="2:9">
      <c r="B144" s="392"/>
      <c r="C144" s="392"/>
      <c r="D144" s="80" t="s">
        <v>688</v>
      </c>
      <c r="E144" s="22">
        <v>130.19999999999999</v>
      </c>
      <c r="F144" s="77">
        <f>E144</f>
        <v>130.19999999999999</v>
      </c>
      <c r="G144" s="392" t="s">
        <v>609</v>
      </c>
      <c r="H144" s="26">
        <f t="shared" si="15"/>
        <v>0</v>
      </c>
      <c r="I144" s="75">
        <f t="shared" si="16"/>
        <v>0</v>
      </c>
    </row>
    <row r="145" spans="2:9">
      <c r="B145" s="392"/>
      <c r="C145" s="392"/>
      <c r="D145" s="80" t="s">
        <v>689</v>
      </c>
      <c r="E145" s="22">
        <v>100.8</v>
      </c>
      <c r="F145" s="77">
        <f>E145</f>
        <v>100.8</v>
      </c>
      <c r="G145" s="392" t="s">
        <v>609</v>
      </c>
      <c r="H145" s="26">
        <f t="shared" si="15"/>
        <v>0</v>
      </c>
      <c r="I145" s="75">
        <f t="shared" si="16"/>
        <v>0</v>
      </c>
    </row>
    <row r="146" spans="2:9">
      <c r="B146" s="392"/>
      <c r="C146" s="392"/>
      <c r="D146" s="80" t="s">
        <v>690</v>
      </c>
      <c r="E146" s="22">
        <v>150.66</v>
      </c>
      <c r="F146" s="77">
        <f>E146</f>
        <v>150.66</v>
      </c>
      <c r="G146" s="392" t="s">
        <v>609</v>
      </c>
      <c r="H146" s="26">
        <f t="shared" si="15"/>
        <v>0</v>
      </c>
      <c r="I146" s="75">
        <f t="shared" si="16"/>
        <v>0</v>
      </c>
    </row>
    <row r="147" spans="2:9">
      <c r="B147" s="392"/>
      <c r="C147" s="392"/>
      <c r="D147" s="80" t="s">
        <v>691</v>
      </c>
      <c r="E147" s="22">
        <v>111.3</v>
      </c>
      <c r="F147" s="77">
        <f>E147</f>
        <v>111.3</v>
      </c>
      <c r="G147" s="392" t="s">
        <v>609</v>
      </c>
      <c r="H147" s="26">
        <f t="shared" si="15"/>
        <v>0</v>
      </c>
      <c r="I147" s="75">
        <f t="shared" si="16"/>
        <v>0</v>
      </c>
    </row>
    <row r="148" spans="2:9">
      <c r="B148" s="392"/>
      <c r="C148" s="392"/>
      <c r="D148" s="80" t="s">
        <v>692</v>
      </c>
      <c r="E148" s="22">
        <v>138.51</v>
      </c>
      <c r="F148" s="74">
        <v>158.6</v>
      </c>
      <c r="G148" s="392" t="s">
        <v>683</v>
      </c>
      <c r="H148" s="26">
        <f t="shared" si="15"/>
        <v>20.090000000000003</v>
      </c>
      <c r="I148" s="75">
        <f t="shared" si="16"/>
        <v>0.14504367915673963</v>
      </c>
    </row>
    <row r="149" spans="2:9">
      <c r="B149" s="392"/>
      <c r="C149" s="392"/>
      <c r="D149" s="80" t="s">
        <v>693</v>
      </c>
      <c r="E149" s="22">
        <v>128.1</v>
      </c>
      <c r="F149" s="77">
        <f>E149</f>
        <v>128.1</v>
      </c>
      <c r="G149" s="392" t="s">
        <v>609</v>
      </c>
      <c r="H149" s="26">
        <f t="shared" si="15"/>
        <v>0</v>
      </c>
      <c r="I149" s="75">
        <f t="shared" si="16"/>
        <v>0</v>
      </c>
    </row>
    <row r="150" spans="2:9">
      <c r="B150" s="392"/>
      <c r="C150" s="392"/>
      <c r="D150" s="80" t="s">
        <v>694</v>
      </c>
      <c r="E150" s="22">
        <v>60.75</v>
      </c>
      <c r="F150" s="77">
        <f>E150</f>
        <v>60.75</v>
      </c>
      <c r="G150" s="392" t="s">
        <v>609</v>
      </c>
      <c r="H150" s="26">
        <f t="shared" si="15"/>
        <v>0</v>
      </c>
      <c r="I150" s="75">
        <f t="shared" si="16"/>
        <v>0</v>
      </c>
    </row>
    <row r="151" spans="2:9">
      <c r="B151" s="392"/>
      <c r="C151" s="392"/>
      <c r="D151" s="80" t="s">
        <v>695</v>
      </c>
      <c r="E151" s="22">
        <v>111.78</v>
      </c>
      <c r="F151" s="77">
        <f>E151</f>
        <v>111.78</v>
      </c>
      <c r="G151" s="392" t="s">
        <v>609</v>
      </c>
      <c r="H151" s="26">
        <f t="shared" si="15"/>
        <v>0</v>
      </c>
      <c r="I151" s="75">
        <f t="shared" si="16"/>
        <v>0</v>
      </c>
    </row>
    <row r="152" spans="2:9">
      <c r="B152" s="392"/>
      <c r="C152" s="392"/>
      <c r="D152" s="80" t="s">
        <v>696</v>
      </c>
      <c r="E152" s="22">
        <v>111.3</v>
      </c>
      <c r="F152" s="74">
        <v>118.8</v>
      </c>
      <c r="G152" s="392" t="s">
        <v>683</v>
      </c>
      <c r="H152" s="26">
        <f t="shared" si="15"/>
        <v>7.5</v>
      </c>
      <c r="I152" s="75">
        <f t="shared" si="16"/>
        <v>6.7385444743935305E-2</v>
      </c>
    </row>
    <row r="153" spans="2:9">
      <c r="B153" s="392"/>
      <c r="C153" s="392"/>
      <c r="D153" s="80" t="s">
        <v>697</v>
      </c>
      <c r="E153" s="22">
        <v>165.24</v>
      </c>
      <c r="F153" s="77">
        <f>E153</f>
        <v>165.24</v>
      </c>
      <c r="G153" s="392" t="s">
        <v>609</v>
      </c>
      <c r="H153" s="26">
        <f t="shared" si="15"/>
        <v>0</v>
      </c>
      <c r="I153" s="75">
        <f t="shared" si="16"/>
        <v>0</v>
      </c>
    </row>
    <row r="154" spans="2:9">
      <c r="B154" s="392"/>
      <c r="C154" s="392"/>
      <c r="D154" s="21"/>
      <c r="E154" s="22"/>
      <c r="F154" s="74"/>
      <c r="G154" s="392"/>
      <c r="H154" s="26"/>
      <c r="I154" s="75"/>
    </row>
    <row r="155" spans="2:9">
      <c r="B155" s="392"/>
      <c r="C155" s="392"/>
      <c r="D155" s="21"/>
      <c r="E155" s="22"/>
      <c r="F155" s="74"/>
      <c r="G155" s="392"/>
      <c r="H155" s="26"/>
      <c r="I155" s="75"/>
    </row>
    <row r="156" spans="2:9">
      <c r="B156" s="392"/>
      <c r="C156" s="392"/>
      <c r="D156" s="46" t="s">
        <v>698</v>
      </c>
      <c r="E156" s="22"/>
      <c r="F156" s="74"/>
      <c r="G156" s="392"/>
      <c r="H156" s="26"/>
      <c r="I156" s="75"/>
    </row>
    <row r="157" spans="2:9">
      <c r="B157" s="392" t="str">
        <f>C157&amp;D157</f>
        <v>IS ES Consultants DedicatedAdvisoryServices.SeniorConsultant - 100008</v>
      </c>
      <c r="C157" s="72" t="s">
        <v>525</v>
      </c>
      <c r="D157" s="21" t="s">
        <v>623</v>
      </c>
      <c r="E157" s="22">
        <v>149.76</v>
      </c>
      <c r="F157" s="74">
        <f>VLOOKUP(B157,Input!B:J,9,0)</f>
        <v>150.54</v>
      </c>
      <c r="G157" s="392"/>
      <c r="H157" s="26">
        <f>F157-E157</f>
        <v>0.78000000000000114</v>
      </c>
      <c r="I157" s="75">
        <f>H157/E157</f>
        <v>5.2083333333333409E-3</v>
      </c>
    </row>
    <row r="158" spans="2:9">
      <c r="B158" s="392" t="str">
        <f>C158&amp;D158</f>
        <v>IS ES ConsultantsAdvisoryServices.Enterprise Architect - 100004</v>
      </c>
      <c r="C158" s="73" t="s">
        <v>517</v>
      </c>
      <c r="D158" s="21" t="s">
        <v>625</v>
      </c>
      <c r="E158" s="22">
        <v>170.88</v>
      </c>
      <c r="F158" s="74">
        <f>VLOOKUP(B158,Input!B:J,9,0)</f>
        <v>214.32</v>
      </c>
      <c r="G158" s="392"/>
      <c r="H158" s="26">
        <f>F158-E158</f>
        <v>43.44</v>
      </c>
      <c r="I158" s="75">
        <f>H158/E158</f>
        <v>0.2542134831460674</v>
      </c>
    </row>
    <row r="159" spans="2:9">
      <c r="B159" s="392" t="str">
        <f>C159&amp;D159</f>
        <v>IS ES ConsultantsAdvisoryServices.Consultant - 100003</v>
      </c>
      <c r="C159" s="73" t="s">
        <v>517</v>
      </c>
      <c r="D159" s="21" t="s">
        <v>624</v>
      </c>
      <c r="E159" s="22">
        <v>140.16</v>
      </c>
      <c r="F159" s="74">
        <f>VLOOKUP(B159,Input!B:J,9,0)</f>
        <v>166.44</v>
      </c>
      <c r="G159" s="392"/>
      <c r="H159" s="26">
        <f>F159-E159</f>
        <v>26.28</v>
      </c>
      <c r="I159" s="75">
        <f>H159/E159</f>
        <v>0.1875</v>
      </c>
    </row>
    <row r="160" spans="2:9">
      <c r="B160" s="392" t="str">
        <f>C160&amp;D160</f>
        <v>IS ES Consultants DedicatedAdvisoryServices.Chief Architect - 100002</v>
      </c>
      <c r="C160" s="72" t="s">
        <v>525</v>
      </c>
      <c r="D160" s="21" t="s">
        <v>628</v>
      </c>
      <c r="E160" s="22">
        <v>193.92</v>
      </c>
      <c r="F160" s="74">
        <f>VLOOKUP(B160,Input!B:J,9,0)</f>
        <v>194.93</v>
      </c>
      <c r="G160" s="392"/>
      <c r="H160" s="26">
        <f>F160-E160</f>
        <v>1.0100000000000193</v>
      </c>
      <c r="I160" s="75">
        <f>H160/E160</f>
        <v>5.2083333333334337E-3</v>
      </c>
    </row>
    <row r="162" spans="2:9">
      <c r="B162" s="392"/>
      <c r="C162" s="392"/>
      <c r="D162" s="46" t="s">
        <v>699</v>
      </c>
      <c r="E162" s="22"/>
      <c r="F162" s="74"/>
      <c r="G162" s="392"/>
      <c r="H162" s="26"/>
      <c r="I162" s="75"/>
    </row>
    <row r="163" spans="2:9">
      <c r="B163" s="392" t="str">
        <f>C163&amp;D163</f>
        <v>IS DS Learning SolutionsLearning.Specialist - 100133</v>
      </c>
      <c r="C163" s="73" t="s">
        <v>505</v>
      </c>
      <c r="D163" s="21" t="s">
        <v>700</v>
      </c>
      <c r="E163" s="22">
        <v>85.4</v>
      </c>
      <c r="F163" s="74">
        <f>VLOOKUP(B163,Input!B:J,9,0)</f>
        <v>88.2</v>
      </c>
      <c r="G163" s="392"/>
      <c r="H163" s="26">
        <f>F163-E163</f>
        <v>2.7999999999999972</v>
      </c>
      <c r="I163" s="75">
        <f>H163/E163</f>
        <v>3.2786885245901606E-2</v>
      </c>
    </row>
    <row r="164" spans="2:9">
      <c r="B164" s="392" t="str">
        <f>C164&amp;D164</f>
        <v>IS DS Learning SolutionsLearning.Sr Specialist - 100134</v>
      </c>
      <c r="C164" s="73" t="s">
        <v>505</v>
      </c>
      <c r="D164" s="21" t="s">
        <v>701</v>
      </c>
      <c r="E164" s="22">
        <v>165.92</v>
      </c>
      <c r="F164" s="74">
        <f>VLOOKUP(B164,Input!B:J,9,0)</f>
        <v>166.6</v>
      </c>
      <c r="G164" s="392"/>
      <c r="H164" s="26">
        <f>F164-E164</f>
        <v>0.68000000000000682</v>
      </c>
      <c r="I164" s="75">
        <f>H164/E164</f>
        <v>4.0983606557377468E-3</v>
      </c>
    </row>
    <row r="165" spans="2:9">
      <c r="B165" s="392"/>
      <c r="C165" s="392"/>
      <c r="D165" s="21"/>
      <c r="E165" s="22"/>
      <c r="F165" s="74"/>
      <c r="G165" s="392"/>
      <c r="H165" s="26"/>
      <c r="I165" s="75"/>
    </row>
    <row r="166" spans="2:9">
      <c r="B166" s="392"/>
      <c r="C166" s="392"/>
      <c r="D166" s="46" t="s">
        <v>702</v>
      </c>
      <c r="E166" s="22"/>
      <c r="F166" s="74"/>
      <c r="G166" s="392"/>
      <c r="H166" s="26"/>
      <c r="I166" s="75"/>
    </row>
    <row r="167" spans="2:9">
      <c r="B167" s="392" t="str">
        <f>C167&amp;D167</f>
        <v>IS OH Practice MgmtCS Security Billable A, Security Architect -100155</v>
      </c>
      <c r="C167" s="72" t="s">
        <v>540</v>
      </c>
      <c r="D167" s="21" t="s">
        <v>703</v>
      </c>
      <c r="E167" s="22">
        <v>179.33</v>
      </c>
      <c r="F167" s="77">
        <f>E167</f>
        <v>179.33</v>
      </c>
      <c r="G167" s="392" t="s">
        <v>609</v>
      </c>
      <c r="H167" s="26">
        <f>F167-E167</f>
        <v>0</v>
      </c>
      <c r="I167" s="75">
        <f>H167/E167</f>
        <v>0</v>
      </c>
    </row>
    <row r="168" spans="2:9">
      <c r="B168" s="392" t="str">
        <f>C168&amp;D168</f>
        <v>CS Security BDSecurity.Consultant - 100156</v>
      </c>
      <c r="C168" s="73" t="s">
        <v>444</v>
      </c>
      <c r="D168" s="21" t="s">
        <v>704</v>
      </c>
      <c r="E168" s="22">
        <v>177.06</v>
      </c>
      <c r="F168" s="74">
        <f>VLOOKUP(B168,Input!B:J,9,0)</f>
        <v>175.5</v>
      </c>
      <c r="G168" s="392"/>
      <c r="H168" s="26">
        <f>F168-E168</f>
        <v>-1.5600000000000023</v>
      </c>
      <c r="I168" s="75">
        <f>H168/E168</f>
        <v>-8.8105726872246826E-3</v>
      </c>
    </row>
    <row r="169" spans="2:9">
      <c r="B169" s="392" t="str">
        <f>C169&amp;D169</f>
        <v>CS Security BDSecurity.Principal Consultant - 100159</v>
      </c>
      <c r="C169" s="73" t="s">
        <v>444</v>
      </c>
      <c r="D169" s="21" t="s">
        <v>705</v>
      </c>
      <c r="E169" s="22">
        <v>227</v>
      </c>
      <c r="F169" s="74">
        <f>VLOOKUP(B169,Input!B:J,9,0)</f>
        <v>225</v>
      </c>
      <c r="G169" s="392"/>
      <c r="H169" s="26">
        <f>F169-E169</f>
        <v>-2</v>
      </c>
      <c r="I169" s="75">
        <f>H169/E169</f>
        <v>-8.8105726872246704E-3</v>
      </c>
    </row>
    <row r="170" spans="2:9">
      <c r="B170" s="392" t="str">
        <f>C170&amp;D170</f>
        <v>CS Security BDSecurity.Technician - 100161</v>
      </c>
      <c r="C170" s="73" t="s">
        <v>444</v>
      </c>
      <c r="D170" s="21" t="s">
        <v>706</v>
      </c>
      <c r="E170" s="22">
        <v>107.63</v>
      </c>
      <c r="F170" s="74">
        <f>VLOOKUP(B170,Input!B:J,9,0)</f>
        <v>105.75</v>
      </c>
      <c r="G170" s="392"/>
      <c r="H170" s="26">
        <f>F170-E170</f>
        <v>-1.8799999999999955</v>
      </c>
      <c r="I170" s="75">
        <f>H170/E170</f>
        <v>-1.7467248908296901E-2</v>
      </c>
    </row>
    <row r="171" spans="2:9">
      <c r="B171" s="392"/>
      <c r="C171" s="392"/>
      <c r="D171" s="21"/>
      <c r="E171" s="22"/>
      <c r="F171" s="74"/>
      <c r="G171" s="392"/>
      <c r="H171" s="26"/>
      <c r="I171" s="75"/>
    </row>
    <row r="172" spans="2:9">
      <c r="B172" s="392"/>
      <c r="C172" s="392"/>
      <c r="D172" s="46" t="s">
        <v>707</v>
      </c>
      <c r="E172" s="22"/>
      <c r="F172" s="74"/>
      <c r="G172" s="392"/>
      <c r="H172" s="26"/>
      <c r="I172" s="75"/>
    </row>
    <row r="173" spans="2:9">
      <c r="B173" s="392"/>
      <c r="C173" s="392"/>
      <c r="D173" s="21" t="s">
        <v>708</v>
      </c>
      <c r="E173" s="22">
        <v>235.72</v>
      </c>
      <c r="F173" s="77">
        <f>E173</f>
        <v>235.72</v>
      </c>
      <c r="G173" s="392" t="s">
        <v>609</v>
      </c>
      <c r="H173" s="26">
        <f>F173-E173</f>
        <v>0</v>
      </c>
      <c r="I173" s="75">
        <f>H173/E173</f>
        <v>0</v>
      </c>
    </row>
    <row r="174" spans="2:9">
      <c r="B174" s="392"/>
      <c r="C174" s="392"/>
      <c r="D174" s="21"/>
      <c r="E174" s="22"/>
      <c r="F174" s="74"/>
      <c r="G174" s="392"/>
      <c r="H174" s="26"/>
      <c r="I174" s="75"/>
    </row>
    <row r="175" spans="2:9">
      <c r="B175" s="392"/>
      <c r="C175" s="392"/>
      <c r="D175" s="21" t="s">
        <v>709</v>
      </c>
      <c r="E175" s="22">
        <v>175.5</v>
      </c>
      <c r="F175" s="77">
        <f>E175</f>
        <v>175.5</v>
      </c>
      <c r="G175" s="392" t="s">
        <v>609</v>
      </c>
      <c r="H175" s="26">
        <f>F175-E175</f>
        <v>0</v>
      </c>
      <c r="I175" s="75">
        <f>H175/E175</f>
        <v>0</v>
      </c>
    </row>
    <row r="176" spans="2:9">
      <c r="B176" s="392"/>
      <c r="C176" s="392"/>
      <c r="D176" s="21" t="s">
        <v>710</v>
      </c>
      <c r="E176" s="22">
        <v>130.5</v>
      </c>
      <c r="F176" s="77">
        <f>E176</f>
        <v>130.5</v>
      </c>
      <c r="G176" s="392" t="s">
        <v>609</v>
      </c>
      <c r="H176" s="26">
        <f>F176-E176</f>
        <v>0</v>
      </c>
      <c r="I176" s="75">
        <f>H176/E176</f>
        <v>0</v>
      </c>
    </row>
    <row r="177" spans="2:9">
      <c r="B177" s="392"/>
      <c r="C177" s="392"/>
      <c r="D177" s="21" t="s">
        <v>711</v>
      </c>
      <c r="E177" s="22">
        <v>136.30000000000001</v>
      </c>
      <c r="F177" s="77">
        <f>E177</f>
        <v>136.30000000000001</v>
      </c>
      <c r="G177" s="392" t="s">
        <v>609</v>
      </c>
      <c r="H177" s="26">
        <f>F177-E177</f>
        <v>0</v>
      </c>
      <c r="I177" s="75">
        <f>H177/E177</f>
        <v>0</v>
      </c>
    </row>
    <row r="178" spans="2:9">
      <c r="B178" s="392"/>
      <c r="C178" s="392"/>
      <c r="D178" s="21"/>
      <c r="E178" s="22"/>
      <c r="F178" s="74"/>
      <c r="G178" s="392"/>
      <c r="H178" s="26"/>
      <c r="I178" s="75"/>
    </row>
    <row r="179" spans="2:9">
      <c r="B179" s="392" t="str">
        <f>C179&amp;D179</f>
        <v>IS MS EnablementManaged Svcs.Client Exp Champion - 100246</v>
      </c>
      <c r="C179" s="73" t="s">
        <v>528</v>
      </c>
      <c r="D179" s="21" t="s">
        <v>712</v>
      </c>
      <c r="E179" s="22">
        <v>154.05000000000001</v>
      </c>
      <c r="F179" s="74">
        <f>VLOOKUP(B179,Input!B:J,9,0)</f>
        <v>154.69999999999999</v>
      </c>
      <c r="G179" s="392"/>
      <c r="H179" s="26">
        <f>F179-E179</f>
        <v>0.64999999999997726</v>
      </c>
      <c r="I179" s="75">
        <f>H179/E179</f>
        <v>4.2194092827002741E-3</v>
      </c>
    </row>
    <row r="180" spans="2:9">
      <c r="B180" s="392" t="str">
        <f>C180&amp;D180</f>
        <v>IS MS EnablementManaged Svcs.Client Exp Specialist - 100247</v>
      </c>
      <c r="C180" s="73" t="s">
        <v>528</v>
      </c>
      <c r="D180" s="21" t="s">
        <v>713</v>
      </c>
      <c r="E180" s="22">
        <v>71.099999999999994</v>
      </c>
      <c r="F180" s="74">
        <f>VLOOKUP(B180,Input!B:J,9,0)</f>
        <v>76.16</v>
      </c>
      <c r="G180" s="392"/>
      <c r="H180" s="26">
        <f>F180-E180</f>
        <v>5.0600000000000023</v>
      </c>
      <c r="I180" s="75">
        <f>H180/E180</f>
        <v>7.1167369901547151E-2</v>
      </c>
    </row>
    <row r="181" spans="2:9">
      <c r="B181" s="392"/>
      <c r="C181" s="392"/>
      <c r="D181" s="21"/>
      <c r="E181" s="22"/>
      <c r="F181" s="74"/>
      <c r="G181" s="392"/>
      <c r="H181" s="26"/>
      <c r="I181" s="75"/>
    </row>
    <row r="182" spans="2:9">
      <c r="B182" s="392"/>
      <c r="C182" s="72" t="s">
        <v>429</v>
      </c>
      <c r="D182" s="80" t="s">
        <v>714</v>
      </c>
      <c r="E182" s="22">
        <v>122.2</v>
      </c>
      <c r="F182" s="74">
        <v>125.08</v>
      </c>
      <c r="G182" s="392" t="s">
        <v>683</v>
      </c>
      <c r="H182" s="26">
        <f t="shared" ref="H182:H195" si="17">F182-E182</f>
        <v>2.8799999999999955</v>
      </c>
      <c r="I182" s="75">
        <f t="shared" ref="I182:I195" si="18">H182/E182</f>
        <v>2.3567921440261829E-2</v>
      </c>
    </row>
    <row r="183" spans="2:9">
      <c r="B183" s="392"/>
      <c r="C183" s="72" t="s">
        <v>429</v>
      </c>
      <c r="D183" s="80" t="s">
        <v>715</v>
      </c>
      <c r="E183" s="22">
        <v>122.2</v>
      </c>
      <c r="F183" s="74">
        <v>125.08</v>
      </c>
      <c r="G183" s="392" t="s">
        <v>683</v>
      </c>
      <c r="H183" s="26">
        <f t="shared" si="17"/>
        <v>2.8799999999999955</v>
      </c>
      <c r="I183" s="75">
        <f t="shared" si="18"/>
        <v>2.3567921440261829E-2</v>
      </c>
    </row>
    <row r="184" spans="2:9">
      <c r="B184" s="392"/>
      <c r="C184" s="72" t="s">
        <v>429</v>
      </c>
      <c r="D184" s="80" t="s">
        <v>716</v>
      </c>
      <c r="E184" s="22">
        <v>141</v>
      </c>
      <c r="F184" s="74">
        <v>141.6</v>
      </c>
      <c r="G184" s="392" t="s">
        <v>683</v>
      </c>
      <c r="H184" s="26">
        <f t="shared" si="17"/>
        <v>0.59999999999999432</v>
      </c>
      <c r="I184" s="75">
        <f t="shared" si="18"/>
        <v>4.2553191489361295E-3</v>
      </c>
    </row>
    <row r="185" spans="2:9">
      <c r="B185" s="392"/>
      <c r="C185" s="72" t="s">
        <v>429</v>
      </c>
      <c r="D185" s="80" t="s">
        <v>717</v>
      </c>
      <c r="E185" s="22">
        <v>141</v>
      </c>
      <c r="F185" s="74">
        <v>141.6</v>
      </c>
      <c r="G185" s="392" t="s">
        <v>683</v>
      </c>
      <c r="H185" s="26">
        <f t="shared" si="17"/>
        <v>0.59999999999999432</v>
      </c>
      <c r="I185" s="75">
        <f t="shared" si="18"/>
        <v>4.2553191489361295E-3</v>
      </c>
    </row>
    <row r="186" spans="2:9">
      <c r="B186" s="392"/>
      <c r="C186" s="72" t="s">
        <v>429</v>
      </c>
      <c r="D186" s="80" t="s">
        <v>718</v>
      </c>
      <c r="E186" s="22">
        <v>141</v>
      </c>
      <c r="F186" s="74">
        <v>141.6</v>
      </c>
      <c r="G186" s="392" t="s">
        <v>683</v>
      </c>
      <c r="H186" s="26">
        <f t="shared" si="17"/>
        <v>0.59999999999999432</v>
      </c>
      <c r="I186" s="75">
        <f t="shared" si="18"/>
        <v>4.2553191489361295E-3</v>
      </c>
    </row>
    <row r="187" spans="2:9">
      <c r="B187" s="392"/>
      <c r="C187" s="72" t="s">
        <v>429</v>
      </c>
      <c r="D187" s="80" t="s">
        <v>719</v>
      </c>
      <c r="E187" s="22">
        <v>225.6</v>
      </c>
      <c r="F187" s="77">
        <f>E187</f>
        <v>225.6</v>
      </c>
      <c r="G187" s="392" t="s">
        <v>609</v>
      </c>
      <c r="H187" s="26">
        <f t="shared" si="17"/>
        <v>0</v>
      </c>
      <c r="I187" s="75">
        <f t="shared" si="18"/>
        <v>0</v>
      </c>
    </row>
    <row r="188" spans="2:9">
      <c r="B188" s="392"/>
      <c r="C188" s="72" t="s">
        <v>429</v>
      </c>
      <c r="D188" s="80" t="s">
        <v>720</v>
      </c>
      <c r="E188" s="22">
        <v>185.65</v>
      </c>
      <c r="F188" s="74">
        <v>186.44</v>
      </c>
      <c r="G188" s="392" t="s">
        <v>683</v>
      </c>
      <c r="H188" s="26">
        <f t="shared" si="17"/>
        <v>0.78999999999999204</v>
      </c>
      <c r="I188" s="75">
        <f t="shared" si="18"/>
        <v>4.2553191489361269E-3</v>
      </c>
    </row>
    <row r="189" spans="2:9">
      <c r="B189" s="392"/>
      <c r="C189" s="72" t="s">
        <v>429</v>
      </c>
      <c r="D189" s="80" t="s">
        <v>721</v>
      </c>
      <c r="E189" s="22">
        <v>185.65</v>
      </c>
      <c r="F189" s="74">
        <v>186.44</v>
      </c>
      <c r="G189" s="392" t="s">
        <v>683</v>
      </c>
      <c r="H189" s="26">
        <f t="shared" si="17"/>
        <v>0.78999999999999204</v>
      </c>
      <c r="I189" s="75">
        <f t="shared" si="18"/>
        <v>4.2553191489361269E-3</v>
      </c>
    </row>
    <row r="190" spans="2:9">
      <c r="B190" s="392"/>
      <c r="C190" s="72" t="s">
        <v>429</v>
      </c>
      <c r="D190" s="80" t="s">
        <v>722</v>
      </c>
      <c r="E190" s="22">
        <v>185.65</v>
      </c>
      <c r="F190" s="74">
        <v>186.44</v>
      </c>
      <c r="G190" s="392" t="s">
        <v>683</v>
      </c>
      <c r="H190" s="26">
        <f t="shared" si="17"/>
        <v>0.78999999999999204</v>
      </c>
      <c r="I190" s="75">
        <f t="shared" si="18"/>
        <v>4.2553191489361269E-3</v>
      </c>
    </row>
    <row r="191" spans="2:9">
      <c r="B191" s="392"/>
      <c r="C191" s="72" t="s">
        <v>429</v>
      </c>
      <c r="D191" s="80" t="s">
        <v>723</v>
      </c>
      <c r="E191" s="22">
        <v>195.05</v>
      </c>
      <c r="F191" s="74">
        <v>186.75</v>
      </c>
      <c r="G191" s="392" t="s">
        <v>683</v>
      </c>
      <c r="H191" s="26">
        <f t="shared" si="17"/>
        <v>-8.3000000000000114</v>
      </c>
      <c r="I191" s="75">
        <f t="shared" si="18"/>
        <v>-4.2553191489361757E-2</v>
      </c>
    </row>
    <row r="192" spans="2:9">
      <c r="B192" s="392"/>
      <c r="C192" s="72" t="s">
        <v>429</v>
      </c>
      <c r="D192" s="80" t="s">
        <v>724</v>
      </c>
      <c r="E192" s="22">
        <v>192.7</v>
      </c>
      <c r="F192" s="74">
        <v>205.32</v>
      </c>
      <c r="G192" s="392" t="s">
        <v>683</v>
      </c>
      <c r="H192" s="26">
        <f t="shared" si="17"/>
        <v>12.620000000000005</v>
      </c>
      <c r="I192" s="75">
        <f t="shared" si="18"/>
        <v>6.5490399584846939E-2</v>
      </c>
    </row>
    <row r="193" spans="3:9">
      <c r="C193" s="72" t="s">
        <v>429</v>
      </c>
      <c r="D193" s="80" t="s">
        <v>725</v>
      </c>
      <c r="E193" s="22">
        <v>192.7</v>
      </c>
      <c r="F193" s="74">
        <v>205.32</v>
      </c>
      <c r="G193" s="392" t="s">
        <v>683</v>
      </c>
      <c r="H193" s="26">
        <f t="shared" si="17"/>
        <v>12.620000000000005</v>
      </c>
      <c r="I193" s="75">
        <f t="shared" si="18"/>
        <v>6.5490399584846939E-2</v>
      </c>
    </row>
    <row r="194" spans="3:9">
      <c r="C194" s="72" t="s">
        <v>429</v>
      </c>
      <c r="D194" s="80" t="s">
        <v>726</v>
      </c>
      <c r="E194" s="22">
        <v>173.9</v>
      </c>
      <c r="F194" s="74">
        <v>188.8</v>
      </c>
      <c r="G194" s="392" t="s">
        <v>683</v>
      </c>
      <c r="H194" s="26">
        <f t="shared" si="17"/>
        <v>14.900000000000006</v>
      </c>
      <c r="I194" s="75">
        <f t="shared" si="18"/>
        <v>8.5681426106958058E-2</v>
      </c>
    </row>
    <row r="195" spans="3:9">
      <c r="C195" s="72" t="s">
        <v>429</v>
      </c>
      <c r="D195" s="80" t="s">
        <v>727</v>
      </c>
      <c r="E195" s="22">
        <v>173.9</v>
      </c>
      <c r="F195" s="74">
        <v>188.8</v>
      </c>
      <c r="G195" s="392" t="s">
        <v>683</v>
      </c>
      <c r="H195" s="26">
        <f t="shared" si="17"/>
        <v>14.900000000000006</v>
      </c>
      <c r="I195" s="75">
        <f t="shared" si="18"/>
        <v>8.5681426106958058E-2</v>
      </c>
    </row>
  </sheetData>
  <conditionalFormatting sqref="I2:I195">
    <cfRule type="cellIs" dxfId="0" priority="1" operator="greaterThanOrEqual">
      <formula>6%</formula>
    </cfRule>
  </conditionalFormatting>
  <pageMargins left="0.7" right="0.7" top="0.75" bottom="0.75" header="0.3" footer="0.3"/>
  <headerFooter>
    <oddFooter>&amp;C_x000D_&amp;1#&amp;"Calibri"&amp;10&amp;K008000 GENERAL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>
    <pageSetUpPr fitToPage="1"/>
  </sheetPr>
  <dimension ref="A1:H22"/>
  <sheetViews>
    <sheetView workbookViewId="0"/>
  </sheetViews>
  <sheetFormatPr defaultColWidth="8.5" defaultRowHeight="14.45"/>
  <cols>
    <col min="1" max="1" width="12.5" style="64" customWidth="1"/>
    <col min="2" max="2" width="8.5" style="66" bestFit="1" customWidth="1"/>
    <col min="3" max="3" width="12.5" style="66" bestFit="1" customWidth="1"/>
    <col min="4" max="4" width="18.375" style="66" customWidth="1"/>
    <col min="5" max="7" width="37" style="66" customWidth="1"/>
    <col min="8" max="8" width="22" style="68" customWidth="1"/>
    <col min="9" max="9" width="8.5" style="64" customWidth="1"/>
    <col min="10" max="16384" width="8.5" style="64"/>
  </cols>
  <sheetData>
    <row r="1" spans="1:8">
      <c r="A1" s="63" t="s">
        <v>728</v>
      </c>
      <c r="B1" s="63" t="s">
        <v>729</v>
      </c>
      <c r="C1" s="63" t="s">
        <v>730</v>
      </c>
      <c r="D1" s="63" t="s">
        <v>731</v>
      </c>
      <c r="E1" s="63" t="s">
        <v>732</v>
      </c>
      <c r="F1" s="63" t="s">
        <v>733</v>
      </c>
      <c r="G1" s="63" t="s">
        <v>734</v>
      </c>
      <c r="H1" s="67" t="s">
        <v>735</v>
      </c>
    </row>
    <row r="2" spans="1:8" ht="29.1" customHeight="1">
      <c r="A2" s="355" t="s">
        <v>736</v>
      </c>
      <c r="B2" s="471">
        <v>44683</v>
      </c>
      <c r="C2" s="356" t="s">
        <v>737</v>
      </c>
      <c r="D2" s="356" t="s">
        <v>738</v>
      </c>
      <c r="E2" s="472" t="s">
        <v>739</v>
      </c>
      <c r="F2" s="356" t="s">
        <v>740</v>
      </c>
      <c r="G2" s="356" t="s">
        <v>741</v>
      </c>
      <c r="H2" s="473">
        <v>44693</v>
      </c>
    </row>
    <row r="3" spans="1:8" ht="57.95" customHeight="1">
      <c r="A3" s="355" t="s">
        <v>736</v>
      </c>
      <c r="B3" s="471">
        <v>44683</v>
      </c>
      <c r="C3" s="356" t="s">
        <v>737</v>
      </c>
      <c r="D3" s="356" t="s">
        <v>742</v>
      </c>
      <c r="E3" s="356" t="s">
        <v>743</v>
      </c>
      <c r="F3" s="356" t="s">
        <v>744</v>
      </c>
      <c r="G3" s="356" t="s">
        <v>745</v>
      </c>
      <c r="H3" s="473">
        <v>44693</v>
      </c>
    </row>
    <row r="4" spans="1:8" ht="29.1" customHeight="1">
      <c r="A4" s="355" t="s">
        <v>736</v>
      </c>
      <c r="B4" s="471">
        <v>44683</v>
      </c>
      <c r="C4" s="356" t="s">
        <v>737</v>
      </c>
      <c r="D4" s="356" t="s">
        <v>746</v>
      </c>
      <c r="E4" s="356" t="s">
        <v>747</v>
      </c>
      <c r="F4" s="356" t="s">
        <v>748</v>
      </c>
      <c r="G4" s="356" t="s">
        <v>749</v>
      </c>
      <c r="H4" s="473">
        <v>44693</v>
      </c>
    </row>
    <row r="5" spans="1:8" ht="29.1" customHeight="1">
      <c r="A5" s="355" t="s">
        <v>736</v>
      </c>
      <c r="B5" s="471">
        <v>44683</v>
      </c>
      <c r="C5" s="356" t="s">
        <v>737</v>
      </c>
      <c r="D5" s="356" t="s">
        <v>750</v>
      </c>
      <c r="E5" s="356" t="s">
        <v>751</v>
      </c>
      <c r="F5" s="356" t="s">
        <v>752</v>
      </c>
      <c r="G5" s="356" t="s">
        <v>753</v>
      </c>
      <c r="H5" s="473">
        <v>44693</v>
      </c>
    </row>
    <row r="6" spans="1:8" ht="57.95" customHeight="1">
      <c r="A6" s="355" t="s">
        <v>736</v>
      </c>
      <c r="B6" s="471">
        <v>44683</v>
      </c>
      <c r="C6" s="356" t="s">
        <v>737</v>
      </c>
      <c r="D6" s="356" t="s">
        <v>754</v>
      </c>
      <c r="E6" s="474" t="s">
        <v>755</v>
      </c>
      <c r="F6" s="474" t="s">
        <v>756</v>
      </c>
      <c r="G6" s="474" t="s">
        <v>757</v>
      </c>
      <c r="H6" s="473">
        <v>44693</v>
      </c>
    </row>
    <row r="7" spans="1:8" ht="57.95" customHeight="1">
      <c r="A7" s="355" t="s">
        <v>736</v>
      </c>
      <c r="B7" s="471">
        <v>44683</v>
      </c>
      <c r="C7" s="356" t="s">
        <v>737</v>
      </c>
      <c r="D7" s="356" t="s">
        <v>758</v>
      </c>
      <c r="E7" s="474" t="s">
        <v>759</v>
      </c>
      <c r="F7" s="474" t="s">
        <v>760</v>
      </c>
      <c r="G7" s="474" t="s">
        <v>761</v>
      </c>
      <c r="H7" s="473">
        <v>44693</v>
      </c>
    </row>
    <row r="8" spans="1:8" ht="43.5" customHeight="1">
      <c r="A8" s="355" t="s">
        <v>736</v>
      </c>
      <c r="B8" s="471">
        <v>44683</v>
      </c>
      <c r="C8" s="356" t="s">
        <v>737</v>
      </c>
      <c r="D8" s="356" t="s">
        <v>762</v>
      </c>
      <c r="E8" s="356" t="s">
        <v>763</v>
      </c>
      <c r="F8" s="356" t="s">
        <v>764</v>
      </c>
      <c r="G8" s="356" t="s">
        <v>765</v>
      </c>
      <c r="H8" s="473">
        <v>44693</v>
      </c>
    </row>
    <row r="9" spans="1:8" ht="57.95" customHeight="1">
      <c r="A9" s="355" t="s">
        <v>736</v>
      </c>
      <c r="B9" s="471">
        <v>44683</v>
      </c>
      <c r="C9" s="356" t="s">
        <v>737</v>
      </c>
      <c r="D9" s="356" t="s">
        <v>766</v>
      </c>
      <c r="E9" s="356" t="s">
        <v>759</v>
      </c>
      <c r="F9" s="356" t="s">
        <v>767</v>
      </c>
      <c r="G9" s="356" t="s">
        <v>741</v>
      </c>
      <c r="H9" s="473">
        <v>44693</v>
      </c>
    </row>
    <row r="10" spans="1:8" ht="43.5" customHeight="1">
      <c r="A10" s="355" t="s">
        <v>736</v>
      </c>
      <c r="B10" s="471">
        <v>44683</v>
      </c>
      <c r="C10" s="356" t="s">
        <v>737</v>
      </c>
      <c r="D10" s="356" t="s">
        <v>768</v>
      </c>
      <c r="E10" s="356" t="s">
        <v>763</v>
      </c>
      <c r="F10" s="356" t="s">
        <v>764</v>
      </c>
      <c r="G10" s="356" t="s">
        <v>765</v>
      </c>
      <c r="H10" s="473">
        <v>44693</v>
      </c>
    </row>
    <row r="11" spans="1:8" ht="29.1" customHeight="1">
      <c r="A11" s="355" t="s">
        <v>736</v>
      </c>
      <c r="B11" s="471">
        <v>44683</v>
      </c>
      <c r="C11" s="356" t="s">
        <v>737</v>
      </c>
      <c r="D11" s="356" t="s">
        <v>769</v>
      </c>
      <c r="E11" s="474" t="s">
        <v>770</v>
      </c>
      <c r="F11" s="474" t="s">
        <v>771</v>
      </c>
      <c r="G11" s="474" t="s">
        <v>772</v>
      </c>
      <c r="H11" s="473">
        <v>44693</v>
      </c>
    </row>
    <row r="12" spans="1:8" ht="116.1" customHeight="1">
      <c r="A12" s="355" t="s">
        <v>736</v>
      </c>
      <c r="B12" s="471">
        <v>44683</v>
      </c>
      <c r="C12" s="356" t="s">
        <v>737</v>
      </c>
      <c r="D12" s="356" t="s">
        <v>773</v>
      </c>
      <c r="E12" s="356" t="s">
        <v>774</v>
      </c>
      <c r="F12" s="356" t="s">
        <v>775</v>
      </c>
      <c r="G12" s="356" t="s">
        <v>776</v>
      </c>
      <c r="H12" s="473">
        <v>44693</v>
      </c>
    </row>
    <row r="13" spans="1:8" ht="46.5" customHeight="1">
      <c r="A13" s="355" t="s">
        <v>736</v>
      </c>
      <c r="B13" s="471">
        <v>44683</v>
      </c>
      <c r="C13" s="356" t="s">
        <v>737</v>
      </c>
      <c r="D13" s="356" t="s">
        <v>777</v>
      </c>
      <c r="E13" s="65" t="s">
        <v>778</v>
      </c>
      <c r="F13" s="65" t="s">
        <v>779</v>
      </c>
      <c r="G13" s="356" t="s">
        <v>780</v>
      </c>
      <c r="H13" s="473">
        <v>44693</v>
      </c>
    </row>
    <row r="14" spans="1:8" ht="43.5" customHeight="1">
      <c r="A14" s="355" t="s">
        <v>736</v>
      </c>
      <c r="B14" s="471">
        <v>44683</v>
      </c>
      <c r="C14" s="356" t="s">
        <v>737</v>
      </c>
      <c r="D14" s="356" t="s">
        <v>781</v>
      </c>
      <c r="E14" s="356" t="s">
        <v>763</v>
      </c>
      <c r="F14" s="356" t="s">
        <v>782</v>
      </c>
      <c r="G14" s="356" t="s">
        <v>765</v>
      </c>
      <c r="H14" s="473">
        <v>44693</v>
      </c>
    </row>
    <row r="15" spans="1:8" ht="29.1" customHeight="1">
      <c r="A15" s="355" t="s">
        <v>736</v>
      </c>
      <c r="B15" s="471">
        <v>44683</v>
      </c>
      <c r="C15" s="356" t="s">
        <v>737</v>
      </c>
      <c r="D15" s="356" t="s">
        <v>783</v>
      </c>
      <c r="E15" s="356" t="s">
        <v>784</v>
      </c>
      <c r="F15" s="356" t="s">
        <v>785</v>
      </c>
      <c r="G15" s="356" t="s">
        <v>786</v>
      </c>
      <c r="H15" s="473">
        <v>44693</v>
      </c>
    </row>
    <row r="16" spans="1:8" ht="57.95" customHeight="1">
      <c r="A16" s="355" t="e">
        <f t="array" ref="A16">#REF!</f>
        <v>#REF!</v>
      </c>
      <c r="B16" s="471"/>
      <c r="C16" s="356" t="s">
        <v>737</v>
      </c>
      <c r="D16" s="475" t="s">
        <v>787</v>
      </c>
      <c r="E16" s="475" t="s">
        <v>788</v>
      </c>
      <c r="F16" s="475" t="s">
        <v>789</v>
      </c>
      <c r="G16" s="475" t="s">
        <v>790</v>
      </c>
      <c r="H16" s="476">
        <v>44715</v>
      </c>
    </row>
    <row r="17" spans="1:8" ht="43.5" customHeight="1">
      <c r="A17" s="355"/>
      <c r="B17" s="471"/>
      <c r="C17" s="356" t="s">
        <v>737</v>
      </c>
      <c r="D17" s="475" t="s">
        <v>791</v>
      </c>
      <c r="E17" s="475" t="s">
        <v>792</v>
      </c>
      <c r="F17" s="475" t="s">
        <v>793</v>
      </c>
      <c r="G17" s="475" t="s">
        <v>794</v>
      </c>
      <c r="H17" s="476">
        <v>44715</v>
      </c>
    </row>
    <row r="18" spans="1:8" ht="101.45" customHeight="1">
      <c r="A18" s="355"/>
      <c r="B18" s="471"/>
      <c r="C18" s="356" t="s">
        <v>737</v>
      </c>
      <c r="D18" s="475" t="s">
        <v>795</v>
      </c>
      <c r="E18" s="477"/>
      <c r="F18" s="475" t="s">
        <v>796</v>
      </c>
      <c r="G18" s="475" t="s">
        <v>797</v>
      </c>
      <c r="H18" s="476">
        <v>44715</v>
      </c>
    </row>
    <row r="19" spans="1:8" ht="43.5" customHeight="1">
      <c r="A19" s="355"/>
      <c r="B19" s="471"/>
      <c r="C19" s="356" t="s">
        <v>737</v>
      </c>
      <c r="D19" s="356" t="s">
        <v>798</v>
      </c>
      <c r="E19" s="356" t="s">
        <v>799</v>
      </c>
      <c r="F19" s="356" t="s">
        <v>800</v>
      </c>
      <c r="G19" s="356" t="s">
        <v>801</v>
      </c>
      <c r="H19" s="473">
        <v>44978</v>
      </c>
    </row>
    <row r="20" spans="1:8" ht="43.5" customHeight="1">
      <c r="A20" s="355"/>
      <c r="B20" s="471"/>
      <c r="C20" s="356" t="s">
        <v>737</v>
      </c>
      <c r="D20" s="356" t="s">
        <v>802</v>
      </c>
      <c r="E20" s="356" t="s">
        <v>803</v>
      </c>
      <c r="F20" s="356" t="s">
        <v>800</v>
      </c>
      <c r="G20" s="356" t="s">
        <v>801</v>
      </c>
      <c r="H20" s="473">
        <v>44978</v>
      </c>
    </row>
    <row r="21" spans="1:8" ht="29.1" customHeight="1">
      <c r="A21" s="355"/>
      <c r="B21" s="471"/>
      <c r="C21" s="356" t="s">
        <v>737</v>
      </c>
      <c r="D21" s="356" t="s">
        <v>802</v>
      </c>
      <c r="E21" s="356" t="s">
        <v>804</v>
      </c>
      <c r="F21" s="356" t="s">
        <v>805</v>
      </c>
      <c r="G21" s="356" t="s">
        <v>806</v>
      </c>
      <c r="H21" s="473">
        <v>44978</v>
      </c>
    </row>
    <row r="22" spans="1:8" ht="43.5" customHeight="1">
      <c r="A22" s="355"/>
      <c r="B22" s="471"/>
      <c r="C22" s="356" t="s">
        <v>737</v>
      </c>
      <c r="D22" s="356" t="s">
        <v>807</v>
      </c>
      <c r="E22" s="356" t="s">
        <v>808</v>
      </c>
      <c r="F22" s="356" t="s">
        <v>809</v>
      </c>
      <c r="G22" s="356" t="s">
        <v>806</v>
      </c>
      <c r="H22" s="473">
        <v>44978</v>
      </c>
    </row>
  </sheetData>
  <autoFilter ref="A1:H22" xr:uid="{00000000-0009-0000-0000-000011000000}"/>
  <pageMargins left="0.7" right="0.7" top="0.75" bottom="0.75" header="0.3" footer="0.3"/>
  <pageSetup scale="86" fitToHeight="0" orientation="landscape"/>
  <headerFooter>
    <oddFooter>&amp;C_x000D_&amp;1#&amp;"Calibri"&amp;10&amp;K008000 GENERAL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>
    <pageSetUpPr fitToPage="1"/>
  </sheetPr>
  <dimension ref="A1:H27"/>
  <sheetViews>
    <sheetView workbookViewId="0"/>
  </sheetViews>
  <sheetFormatPr defaultColWidth="9" defaultRowHeight="14.1"/>
  <cols>
    <col min="1" max="1" width="8.5" style="1" customWidth="1"/>
    <col min="2" max="2" width="54.5" style="1" customWidth="1"/>
    <col min="3" max="3" width="44.5" style="1" customWidth="1"/>
    <col min="4" max="6" width="7.5" style="25" customWidth="1"/>
    <col min="7" max="7" width="12" style="1" customWidth="1"/>
    <col min="8" max="8" width="14.5" style="1" customWidth="1"/>
    <col min="9" max="9" width="9" style="1" customWidth="1"/>
    <col min="10" max="10" width="11" style="1" customWidth="1"/>
    <col min="11" max="11" width="11.5" style="1" customWidth="1"/>
    <col min="12" max="12" width="9" style="1" customWidth="1"/>
    <col min="13" max="16384" width="9" style="1"/>
  </cols>
  <sheetData>
    <row r="1" spans="1:8">
      <c r="A1" s="33" t="s">
        <v>329</v>
      </c>
      <c r="B1" s="18"/>
      <c r="C1" s="18"/>
      <c r="D1" s="59"/>
      <c r="E1" s="59"/>
      <c r="F1" s="59"/>
      <c r="G1" s="18"/>
      <c r="H1" s="18"/>
    </row>
    <row r="2" spans="1:8">
      <c r="A2" s="33"/>
      <c r="B2" s="18"/>
      <c r="C2" s="18"/>
      <c r="D2" s="59"/>
      <c r="E2" s="59"/>
      <c r="F2" s="59"/>
      <c r="G2" s="18"/>
      <c r="H2" s="18"/>
    </row>
    <row r="3" spans="1:8">
      <c r="A3" s="2" t="s">
        <v>810</v>
      </c>
      <c r="B3" s="18"/>
      <c r="C3" s="18"/>
      <c r="D3" s="59"/>
      <c r="E3" s="59"/>
      <c r="F3" s="59"/>
      <c r="G3" s="18"/>
      <c r="H3" s="18"/>
    </row>
    <row r="4" spans="1:8">
      <c r="A4" s="2" t="e">
        <f>IF('Summary Old'!#REF!&lt;&gt;"",'Summary Old'!#REF!&amp;" - "&amp;'Summary Old'!#REF!,"&lt;Customer and Project not assigned&gt;")</f>
        <v>#REF!</v>
      </c>
      <c r="B4" s="18"/>
      <c r="C4" s="18"/>
      <c r="D4" s="59"/>
      <c r="E4" s="59"/>
      <c r="F4" s="59"/>
      <c r="G4" s="18"/>
      <c r="H4" s="18"/>
    </row>
    <row r="5" spans="1:8">
      <c r="A5" s="2" t="e">
        <f>IF('Summary Old'!#REF!&lt;&gt;"",'Summary Old'!#REF!,"&lt;IR not assigned&gt;")</f>
        <v>#REF!</v>
      </c>
      <c r="B5" s="18"/>
      <c r="C5" s="18"/>
      <c r="D5" s="59"/>
      <c r="E5" s="59"/>
      <c r="F5" s="59"/>
      <c r="G5" s="18"/>
      <c r="H5" s="18"/>
    </row>
    <row r="6" spans="1:8" ht="14.45" customHeight="1" thickBot="1">
      <c r="A6" s="18"/>
      <c r="B6" s="18"/>
      <c r="C6" s="18"/>
      <c r="D6" s="59"/>
      <c r="E6" s="59"/>
      <c r="F6" s="59"/>
      <c r="G6" s="18"/>
      <c r="H6" s="18"/>
    </row>
    <row r="7" spans="1:8" s="25" customFormat="1" ht="14.45" customHeight="1" thickBot="1">
      <c r="A7" s="3" t="s">
        <v>811</v>
      </c>
      <c r="B7" s="4"/>
      <c r="C7" s="4"/>
      <c r="D7" s="24"/>
      <c r="E7" s="24"/>
      <c r="F7" s="24"/>
      <c r="G7" s="4"/>
      <c r="H7" s="9"/>
    </row>
    <row r="8" spans="1:8">
      <c r="A8" s="2"/>
      <c r="B8" s="18"/>
      <c r="C8" s="60"/>
      <c r="D8" s="60"/>
      <c r="E8" s="60"/>
      <c r="F8" s="60"/>
      <c r="G8" s="60"/>
      <c r="H8" s="60"/>
    </row>
    <row r="9" spans="1:8">
      <c r="A9" s="2"/>
      <c r="B9" s="18"/>
      <c r="C9" s="392" t="s">
        <v>812</v>
      </c>
      <c r="D9" s="431">
        <v>0</v>
      </c>
      <c r="E9" s="478"/>
      <c r="F9" s="479"/>
      <c r="G9" s="60"/>
      <c r="H9" s="60">
        <f>D9</f>
        <v>0</v>
      </c>
    </row>
    <row r="10" spans="1:8">
      <c r="A10" s="2"/>
      <c r="B10" s="18"/>
      <c r="C10" s="18"/>
      <c r="D10" s="16"/>
      <c r="E10" s="59"/>
      <c r="F10" s="59"/>
      <c r="G10" s="60"/>
      <c r="H10" s="60"/>
    </row>
    <row r="11" spans="1:8">
      <c r="A11" s="2"/>
      <c r="B11" s="2"/>
      <c r="C11" s="84" t="s">
        <v>331</v>
      </c>
      <c r="D11" s="404"/>
      <c r="E11" s="404"/>
      <c r="F11" s="404"/>
      <c r="G11" s="5"/>
      <c r="H11" s="5"/>
    </row>
    <row r="12" spans="1:8" ht="14.45" customHeight="1" thickBot="1">
      <c r="A12" s="2"/>
      <c r="B12" s="2"/>
      <c r="C12" s="2"/>
      <c r="D12" s="404" t="s">
        <v>161</v>
      </c>
      <c r="E12" s="404" t="s">
        <v>333</v>
      </c>
      <c r="F12" s="404" t="s">
        <v>334</v>
      </c>
      <c r="G12" s="20" t="s">
        <v>335</v>
      </c>
      <c r="H12" s="20" t="s">
        <v>336</v>
      </c>
    </row>
    <row r="13" spans="1:8" ht="14.45" customHeight="1" thickBot="1">
      <c r="A13" s="3" t="s">
        <v>813</v>
      </c>
      <c r="B13" s="4"/>
      <c r="C13" s="4"/>
      <c r="D13" s="24"/>
      <c r="E13" s="24"/>
      <c r="F13" s="24"/>
      <c r="G13" s="24"/>
      <c r="H13" s="36"/>
    </row>
    <row r="14" spans="1:8">
      <c r="A14" s="2"/>
      <c r="B14" s="2"/>
      <c r="C14" s="18"/>
      <c r="D14" s="59"/>
      <c r="E14" s="59"/>
      <c r="F14" s="59"/>
      <c r="G14" s="60"/>
      <c r="H14" s="60"/>
    </row>
    <row r="15" spans="1:8">
      <c r="A15" s="2"/>
      <c r="B15" s="392" t="s">
        <v>814</v>
      </c>
      <c r="C15" s="392" t="s">
        <v>815</v>
      </c>
      <c r="D15" s="35"/>
      <c r="E15" s="35">
        <v>1</v>
      </c>
      <c r="F15" s="61">
        <f>D15*E15</f>
        <v>0</v>
      </c>
      <c r="G15" s="60"/>
      <c r="H15" s="60">
        <f>F15*G15</f>
        <v>0</v>
      </c>
    </row>
    <row r="17" spans="1:8">
      <c r="A17" s="2"/>
      <c r="B17" s="392" t="s">
        <v>816</v>
      </c>
      <c r="C17" s="392" t="s">
        <v>815</v>
      </c>
      <c r="D17" s="35"/>
      <c r="E17" s="35">
        <v>1</v>
      </c>
      <c r="F17" s="61">
        <f>D17*E17</f>
        <v>0</v>
      </c>
      <c r="G17" s="60"/>
      <c r="H17" s="60">
        <f>F17*G17</f>
        <v>0</v>
      </c>
    </row>
    <row r="18" spans="1:8">
      <c r="A18" s="2"/>
      <c r="B18" s="392" t="s">
        <v>817</v>
      </c>
      <c r="C18" s="392" t="s">
        <v>815</v>
      </c>
      <c r="D18" s="35"/>
      <c r="E18" s="35">
        <v>1</v>
      </c>
      <c r="F18" s="61">
        <f>D18*E18</f>
        <v>0</v>
      </c>
      <c r="G18" s="60"/>
      <c r="H18" s="60">
        <f>F18*G18</f>
        <v>0</v>
      </c>
    </row>
    <row r="26" spans="1:8" ht="14.45" customHeight="1" thickBot="1">
      <c r="A26" s="18"/>
      <c r="B26" s="18"/>
      <c r="C26" s="18"/>
      <c r="D26" s="59"/>
      <c r="E26" s="59"/>
      <c r="F26" s="59"/>
      <c r="G26" s="18"/>
      <c r="H26" s="18"/>
    </row>
    <row r="27" spans="1:8" ht="14.45" customHeight="1" thickTop="1">
      <c r="A27" s="6" t="s">
        <v>116</v>
      </c>
      <c r="B27" s="8"/>
      <c r="C27" s="8"/>
      <c r="D27" s="34"/>
      <c r="E27" s="34"/>
      <c r="F27" s="34"/>
      <c r="G27" s="8"/>
      <c r="H27" s="7">
        <f>ROUND(SUM(H7:H26),2)</f>
        <v>0</v>
      </c>
    </row>
  </sheetData>
  <mergeCells count="1">
    <mergeCell ref="D9:F9"/>
  </mergeCells>
  <hyperlinks>
    <hyperlink ref="A1" location="Summary!A1" display="Back to Summary" xr:uid="{00000000-0004-0000-1200-000000000000}"/>
  </hyperlinks>
  <pageMargins left="0.7" right="0.7" top="0.75" bottom="0.75" header="0.3" footer="0.3"/>
  <pageSetup scale="65" fitToHeight="999" orientation="landscape"/>
  <headerFooter>
    <oddFooter>&amp;C_x000D_&amp;1#&amp;"Calibri"&amp;10&amp;K008000 GENERAL</oddFooter>
  </headerFooter>
</worksheet>
</file>

<file path=docMetadata/LabelInfo.xml><?xml version="1.0" encoding="utf-8"?>
<clbl:labelList xmlns:clbl="http://schemas.microsoft.com/office/2020/mipLabelMetadata">
  <clbl:label id="{d7b2f555-efd0-47ca-8acc-b44f6dd8d9cb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Estimating Tool</dc:title>
  <dc:subject/>
  <dc:creator>Patrick Glynn</dc:creator>
  <cp:keywords/>
  <dc:description/>
  <cp:lastModifiedBy>Surender Yerram</cp:lastModifiedBy>
  <cp:revision/>
  <dcterms:created xsi:type="dcterms:W3CDTF">2010-01-31T00:55:30Z</dcterms:created>
  <dcterms:modified xsi:type="dcterms:W3CDTF">2025-12-23T22:42:19Z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0x010100B9E2BFE4DAB4E742BD2FFA13FB59D674</vt:lpwstr>
  </property>
  <property fmtid="{D5CDD505-2E9C-101B-9397-08002B2CF9AE}" pid="3" name="xd_ProgID">
    <vt:lpwstr/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xd_Signature">
    <vt:bool>false</vt:bool>
  </property>
  <property fmtid="{D5CDD505-2E9C-101B-9397-08002B2CF9AE}" pid="9" name="MediaServiceImageTags">
    <vt:lpwstr/>
  </property>
</Properties>
</file>