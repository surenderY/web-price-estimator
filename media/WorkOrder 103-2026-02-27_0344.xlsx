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2" activeTab="2" autoFilterDateGrouping="1"/>
  </bookViews>
  <sheets>
    <sheet name="Estimator Input" sheetId="1" state="visible" r:id="rId1"/>
    <sheet name="For GSO Team" sheetId="2" state="visible" r:id="rId2"/>
    <sheet name="CSOW Pricing &amp; WWT Cost (2)" sheetId="3" state="visible" r:id="rId3"/>
    <sheet name="OLD" sheetId="4" state="visible" r:id="rId4"/>
    <sheet name="Summary" sheetId="5" state="visible" r:id="rId5"/>
    <sheet name="Changelog" sheetId="6" state="hidden" r:id="rId6"/>
    <sheet name="Currency" sheetId="7" state="hidden" r:id="rId7"/>
    <sheet name="Summary Old" sheetId="8" state="hidden" r:id="rId8"/>
    <sheet name="WWT IC w FY25 pricing" sheetId="9" state="hidden" r:id="rId9"/>
    <sheet name="PSOW PPT Install" sheetId="10" state="hidden" r:id="rId10"/>
    <sheet name="PMO Resources" sheetId="11" state="hidden" r:id="rId11"/>
    <sheet name="Other Expenses" sheetId="12" state="hidden" r:id="rId12"/>
    <sheet name="Sheet1" sheetId="13" state="hidden" r:id="rId13"/>
    <sheet name="Managed Services" sheetId="14" state="hidden" r:id="rId14"/>
    <sheet name="Variables" sheetId="15" state="hidden" r:id="rId15"/>
    <sheet name="Input" sheetId="16" state="hidden" r:id="rId16"/>
    <sheet name="Working" sheetId="17" state="hidden" r:id="rId17"/>
    <sheet name="Change Log" sheetId="18" state="hidden" r:id="rId18"/>
    <sheet name="Supply Chain Services" sheetId="19" state="hidden" r:id="rId19"/>
  </sheets>
  <externalReferences>
    <externalReference r:id="rId20"/>
    <externalReference r:id="rId21"/>
    <externalReference r:id="rId22"/>
    <externalReference r:id="rId23"/>
  </externalReferences>
  <definedNames>
    <definedName name="Critical_CSCC">#REF!</definedName>
    <definedName name="Current__Commit_for_Other_Stakeholder">[1]LOV!#REF!</definedName>
    <definedName name="Desired_Support">#REF!</definedName>
    <definedName name="HTML_CodePage" hidden="1">1252</definedName>
    <definedName name="HTML_Control" hidden="1">{"'Open Issues'!$A$2:$I$9"}</definedName>
    <definedName name="HTML_Description" hidden="1">""</definedName>
    <definedName name="HTML_Email" hidden="1">"andy_harris@hp.com"</definedName>
    <definedName name="HTML_Header" hidden="1">"Clarify European Deployment Issuelist"</definedName>
    <definedName name="HTML_LastUpdate" hidden="1">"26/03/99"</definedName>
    <definedName name="HTML_LineAfter" hidden="1">FALSE</definedName>
    <definedName name="HTML_LineBefore" hidden="1">FALSE</definedName>
    <definedName name="HTML_Name" hidden="1">"Andy Harris TN 31-28568"</definedName>
    <definedName name="HTML_OBDlg2" hidden="1">TRUE</definedName>
    <definedName name="HTML_OBDlg4" hidden="1">TRUE</definedName>
    <definedName name="HTML_OS" hidden="1">0</definedName>
    <definedName name="HTML_PathFile" hidden="1">"I:\DATA\Projects\WFM\WFM 2.0\Management\Project HTML\clf_iss.html"</definedName>
    <definedName name="HTML_Title" hidden="1">"Clarify European Deployment Issuelist"</definedName>
    <definedName name="Pri">#REF!</definedName>
    <definedName name="PriorityLevel">#REF!</definedName>
    <definedName name="PSCommandCenter">#REF!</definedName>
    <definedName name="Role">[2]LOV!$C$4:$C$8</definedName>
    <definedName name="Stakeholder_Commitment">[1]LOV!#REF!</definedName>
    <definedName name="Stat">#REF!</definedName>
    <definedName name="Status">#REF!</definedName>
    <definedName name="Type_Area">[3]DropDown_Elements!$A$2:$A$30</definedName>
    <definedName name="Vehicle_Area">[3]DropDown_Elements!$C$2:$C$30</definedName>
    <definedName name="WBSContingency">#REF!</definedName>
    <definedName name="WBSEngineeringLabor">#REF!</definedName>
    <definedName name="WBSMisc">#REF!</definedName>
    <definedName name="WBSOEMServices">#REF!</definedName>
    <definedName name="WBSProjectManagementLabor">#REF!</definedName>
    <definedName name="WBSSubcontractedWork">#REF!</definedName>
    <definedName name="WBSTop">#REF!</definedName>
    <definedName name="WBSTraining">#REF!</definedName>
    <definedName name="Y">#REF!</definedName>
    <definedName name="YN">#REF!</definedName>
    <definedName name="HTML_Control" localSheetId="2" hidden="1">{"'Open Issues'!$A$2:$I$9"}</definedName>
    <definedName name="HTML_Control" localSheetId="3" hidden="1">{"'Open Issues'!$A$2:$I$9"}</definedName>
    <definedName name="_xlnm._FilterDatabase" localSheetId="17" hidden="1">'Change Log'!$A$1:$H$22</definedName>
    <definedName name="_xlnm.Print_Titles" localSheetId="17">'Change Log'!$1:$1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_(&quot;$&quot;* #,##0.00_);_(&quot;$&quot;* \(#,##0.00\);_(&quot;$&quot;* &quot;-&quot;??_);_(@_)"/>
    <numFmt numFmtId="165" formatCode="_(&quot;$&quot;* #,##0.00000_);_(&quot;$&quot;* \(#,##0.00000\);_(&quot;$&quot;* &quot;-&quot;??_);_(@_)"/>
    <numFmt numFmtId="166" formatCode="_([$$-409]* #,##0.00_);_([$$-409]* \(#,##0.00\);_([$$-409]* &quot;-&quot;??_);_(@_)"/>
    <numFmt numFmtId="167" formatCode="0.000%"/>
    <numFmt numFmtId="168" formatCode="m/d/yy;@"/>
    <numFmt numFmtId="169" formatCode="&quot;$&quot;#,##0.00"/>
    <numFmt numFmtId="170" formatCode="&quot;$&quot;#,##0.00_);[Red]\(&quot;$&quot;#,##0.00\)"/>
    <numFmt numFmtId="171" formatCode="_(* #,##0_);_(* \(#,##0\);_(* &quot;-&quot;??_);_(@_)"/>
    <numFmt numFmtId="172" formatCode="_-[$£-809]* #,##0.00_-;\-[$£-809]* #,##0.00_-;_-[$£-809]* &quot;-&quot;??_-;_-@_-"/>
    <numFmt numFmtId="173" formatCode="_([$€-2]\ * #,##0.00_);_([$€-2]\ * \(#,##0.00\);_([$€-2]\ * &quot;-&quot;??_);_(@_)"/>
    <numFmt numFmtId="174" formatCode="[$€-2]\ #,##0.00"/>
  </numFmts>
  <fonts count="38"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rgb="FF3F3F76"/>
      <sz val="11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"/>
      <family val="2"/>
      <i val="1"/>
      <color theme="1"/>
      <sz val="11"/>
    </font>
    <font>
      <name val="Arial"/>
      <family val="2"/>
      <b val="1"/>
      <color rgb="FF3F3F76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2"/>
      <scheme val="minor"/>
    </font>
    <font>
      <name val="Arial"/>
      <family val="2"/>
      <b val="1"/>
      <sz val="11"/>
    </font>
    <font>
      <name val="Arial"/>
      <family val="2"/>
      <b val="1"/>
      <color rgb="FFFF0000"/>
      <sz val="11"/>
    </font>
    <font>
      <name val="Arial"/>
      <family val="2"/>
      <color rgb="FF5C667B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trike val="1"/>
      <color theme="1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strike val="1"/>
      <color rgb="FFFF0000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4"/>
    </font>
    <font>
      <name val="Aptos Narrow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sz val="20"/>
    </font>
    <font>
      <name val="Arial"/>
      <family val="2"/>
      <b val="1"/>
      <color theme="1"/>
      <sz val="12"/>
    </font>
  </fonts>
  <fills count="35">
    <fill>
      <patternFill/>
    </fill>
    <fill>
      <patternFill patternType="gray125"/>
    </fill>
    <fill>
      <patternFill patternType="solid">
        <fgColor rgb="FFFBF7A5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F5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30">
    <xf numFmtId="0" fontId="10" fillId="0" borderId="0"/>
    <xf numFmtId="0" fontId="9" fillId="2" borderId="4"/>
    <xf numFmtId="9" fontId="7" fillId="0" borderId="0"/>
    <xf numFmtId="44" fontId="7" fillId="0" borderId="0"/>
    <xf numFmtId="0" fontId="12" fillId="0" borderId="0" applyAlignment="1" applyProtection="1">
      <alignment vertical="top"/>
      <protection locked="0" hidden="0"/>
    </xf>
    <xf numFmtId="0" fontId="10" fillId="4" borderId="20"/>
    <xf numFmtId="0" fontId="8" fillId="3" borderId="11"/>
    <xf numFmtId="0" fontId="10" fillId="4" borderId="20"/>
    <xf numFmtId="0" fontId="7" fillId="0" borderId="0"/>
    <xf numFmtId="0" fontId="5" fillId="0" borderId="0"/>
    <xf numFmtId="43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44" fontId="7" fillId="0" borderId="0"/>
    <xf numFmtId="44" fontId="7" fillId="0" borderId="0"/>
    <xf numFmtId="0" fontId="7" fillId="0" borderId="0"/>
    <xf numFmtId="44" fontId="7" fillId="0" borderId="0"/>
    <xf numFmtId="0" fontId="7" fillId="0" borderId="0"/>
    <xf numFmtId="43" fontId="7" fillId="0" borderId="0"/>
    <xf numFmtId="0" fontId="7" fillId="27" borderId="0"/>
    <xf numFmtId="44" fontId="7" fillId="0" borderId="0"/>
    <xf numFmtId="44" fontId="7" fillId="0" borderId="0"/>
  </cellStyleXfs>
  <cellXfs count="708">
    <xf numFmtId="0" fontId="0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8" fillId="3" borderId="19" pivotButton="0" quotePrefix="0" xfId="6"/>
    <xf numFmtId="0" fontId="8" fillId="3" borderId="18" pivotButton="0" quotePrefix="0" xfId="6"/>
    <xf numFmtId="164" fontId="8" fillId="0" borderId="0" pivotButton="0" quotePrefix="0" xfId="0"/>
    <xf numFmtId="0" fontId="0" fillId="4" borderId="20" pivotButton="0" quotePrefix="0" xfId="5"/>
    <xf numFmtId="164" fontId="6" fillId="4" borderId="20" pivotButton="0" quotePrefix="0" xfId="3"/>
    <xf numFmtId="0" fontId="6" fillId="4" borderId="20" pivotButton="0" quotePrefix="0" xfId="5"/>
    <xf numFmtId="0" fontId="8" fillId="3" borderId="23" pivotButton="0" quotePrefix="0" xfId="6"/>
    <xf numFmtId="0" fontId="8" fillId="0" borderId="10" pivotButton="0" quotePrefix="0" xfId="0"/>
    <xf numFmtId="0" fontId="8" fillId="0" borderId="15" pivotButton="0" quotePrefix="0" xfId="0"/>
    <xf numFmtId="0" fontId="0" fillId="0" borderId="9" applyAlignment="1" pivotButton="0" quotePrefix="0" xfId="0">
      <alignment horizontal="left" indent="2"/>
    </xf>
    <xf numFmtId="0" fontId="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8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26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center"/>
    </xf>
    <xf numFmtId="9" fontId="9" fillId="2" borderId="4" pivotButton="0" quotePrefix="0" xfId="2"/>
    <xf numFmtId="165" fontId="9" fillId="2" borderId="4" pivotButton="0" quotePrefix="0" xfId="2"/>
    <xf numFmtId="0" fontId="14" fillId="0" borderId="0" pivotButton="0" quotePrefix="0" xfId="0"/>
    <xf numFmtId="0" fontId="8" fillId="3" borderId="18" applyAlignment="1" pivotButton="0" quotePrefix="0" xfId="6">
      <alignment horizontal="center"/>
    </xf>
    <xf numFmtId="0" fontId="10" fillId="0" borderId="0" applyAlignment="1" pivotButton="0" quotePrefix="0" xfId="0">
      <alignment horizontal="center"/>
    </xf>
    <xf numFmtId="2" fontId="0" fillId="0" borderId="0" pivotButton="0" quotePrefix="0" xfId="0"/>
    <xf numFmtId="166" fontId="0" fillId="0" borderId="1" pivotButton="0" quotePrefix="0" xfId="0"/>
    <xf numFmtId="167" fontId="6" fillId="0" borderId="0" applyAlignment="1" pivotButton="0" quotePrefix="0" xfId="2">
      <alignment horizontal="right"/>
    </xf>
    <xf numFmtId="167" fontId="8" fillId="0" borderId="0" applyAlignment="1" pivotButton="0" quotePrefix="0" xfId="2">
      <alignment horizontal="right"/>
    </xf>
    <xf numFmtId="166" fontId="0" fillId="0" borderId="27" pivotButton="0" quotePrefix="0" xfId="0"/>
    <xf numFmtId="166" fontId="0" fillId="0" borderId="28" pivotButton="0" quotePrefix="0" xfId="0"/>
    <xf numFmtId="0" fontId="0" fillId="0" borderId="9" pivotButton="0" quotePrefix="0" xfId="0"/>
    <xf numFmtId="0" fontId="12" fillId="0" borderId="0" pivotButton="0" quotePrefix="0" xfId="4"/>
    <xf numFmtId="0" fontId="6" fillId="4" borderId="20" applyAlignment="1" pivotButton="0" quotePrefix="0" xfId="5">
      <alignment horizontal="center"/>
    </xf>
    <xf numFmtId="0" fontId="9" fillId="2" borderId="4" applyAlignment="1" pivotButton="0" quotePrefix="0" xfId="1">
      <alignment horizontal="right"/>
    </xf>
    <xf numFmtId="0" fontId="8" fillId="3" borderId="23" applyAlignment="1" pivotButton="0" quotePrefix="0" xfId="6">
      <alignment horizontal="center"/>
    </xf>
    <xf numFmtId="167" fontId="0" fillId="0" borderId="0" pivotButton="0" quotePrefix="0" xfId="2"/>
    <xf numFmtId="166" fontId="0" fillId="0" borderId="2" pivotButton="0" quotePrefix="0" xfId="0"/>
    <xf numFmtId="167" fontId="6" fillId="0" borderId="3" applyAlignment="1" pivotButton="0" quotePrefix="0" xfId="2">
      <alignment horizontal="right"/>
    </xf>
    <xf numFmtId="166" fontId="0" fillId="0" borderId="21" pivotButton="0" quotePrefix="0" xfId="0"/>
    <xf numFmtId="167" fontId="6" fillId="0" borderId="22" applyAlignment="1" pivotButton="0" quotePrefix="0" xfId="2">
      <alignment horizontal="right"/>
    </xf>
    <xf numFmtId="0" fontId="8" fillId="0" borderId="9" applyAlignment="1" pivotButton="0" quotePrefix="0" xfId="0">
      <alignment horizontal="left" indent="2"/>
    </xf>
    <xf numFmtId="0" fontId="0" fillId="0" borderId="12" applyAlignment="1" pivotButton="0" quotePrefix="0" xfId="0">
      <alignment horizontal="left"/>
    </xf>
    <xf numFmtId="0" fontId="0" fillId="0" borderId="13" pivotButton="0" quotePrefix="0" xfId="0"/>
    <xf numFmtId="0" fontId="0" fillId="0" borderId="29" pivotButton="0" quotePrefix="0" xfId="0"/>
    <xf numFmtId="9" fontId="15" fillId="2" borderId="4" pivotButton="0" quotePrefix="0" xfId="2"/>
    <xf numFmtId="0" fontId="6" fillId="0" borderId="7" pivotButton="0" quotePrefix="0" xfId="0"/>
    <xf numFmtId="0" fontId="6" fillId="0" borderId="13" pivotButton="0" quotePrefix="0" xfId="0"/>
    <xf numFmtId="0" fontId="6" fillId="0" borderId="6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166" fontId="6" fillId="0" borderId="0" pivotButton="0" quotePrefix="0" xfId="0"/>
    <xf numFmtId="0" fontId="6" fillId="0" borderId="12" pivotButton="0" quotePrefix="0" xfId="0"/>
    <xf numFmtId="166" fontId="6" fillId="0" borderId="13" pivotButton="0" quotePrefix="0" xfId="0"/>
    <xf numFmtId="167" fontId="6" fillId="0" borderId="13" pivotButton="0" quotePrefix="0" xfId="2"/>
    <xf numFmtId="166" fontId="6" fillId="0" borderId="15" pivotButton="0" quotePrefix="0" xfId="0"/>
    <xf numFmtId="167" fontId="6" fillId="0" borderId="0" pivotButton="0" quotePrefix="0" xfId="2"/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165" fontId="9" fillId="5" borderId="4" pivotButton="0" quotePrefix="0" xfId="2"/>
    <xf numFmtId="0" fontId="16" fillId="10" borderId="1" applyAlignment="1" pivotButton="0" quotePrefix="0" xfId="19">
      <alignment horizontal="center" wrapText="1"/>
    </xf>
    <xf numFmtId="0" fontId="4" fillId="0" borderId="0" pivotButton="0" quotePrefix="0" xfId="19"/>
    <xf numFmtId="0" fontId="19" fillId="0" borderId="1" applyAlignment="1" pivotButton="0" quotePrefix="0" xfId="16">
      <alignment vertical="center" wrapText="1"/>
    </xf>
    <xf numFmtId="0" fontId="4" fillId="0" borderId="0" applyAlignment="1" pivotButton="0" quotePrefix="0" xfId="19">
      <alignment wrapText="1"/>
    </xf>
    <xf numFmtId="168" fontId="16" fillId="10" borderId="1" applyAlignment="1" pivotButton="0" quotePrefix="0" xfId="19">
      <alignment horizontal="center" wrapText="1"/>
    </xf>
    <xf numFmtId="168" fontId="4" fillId="0" borderId="0" pivotButton="0" quotePrefix="0" xfId="19"/>
    <xf numFmtId="165" fontId="9" fillId="12" borderId="4" pivotButton="0" quotePrefix="0" xfId="2"/>
    <xf numFmtId="9" fontId="15" fillId="8" borderId="4" pivotButton="0" quotePrefix="0" xfId="2"/>
    <xf numFmtId="165" fontId="9" fillId="8" borderId="4" pivotButton="0" quotePrefix="0" xfId="2"/>
    <xf numFmtId="0" fontId="0" fillId="0" borderId="32" applyAlignment="1" pivotButton="0" quotePrefix="0" xfId="0">
      <alignment horizontal="center" vertical="top"/>
    </xf>
    <xf numFmtId="0" fontId="0" fillId="13" borderId="32" applyAlignment="1" pivotButton="0" quotePrefix="0" xfId="0">
      <alignment horizontal="center" vertical="top"/>
    </xf>
    <xf numFmtId="164" fontId="0" fillId="0" borderId="0" pivotButton="0" quotePrefix="0" xfId="3"/>
    <xf numFmtId="9" fontId="0" fillId="0" borderId="0" pivotButton="0" quotePrefix="0" xfId="2"/>
    <xf numFmtId="0" fontId="0" fillId="14" borderId="32" applyAlignment="1" pivotButton="0" quotePrefix="0" xfId="0">
      <alignment horizontal="center" vertical="top"/>
    </xf>
    <xf numFmtId="164" fontId="0" fillId="8" borderId="0" pivotButton="0" quotePrefix="0" xfId="3"/>
    <xf numFmtId="0" fontId="0" fillId="8" borderId="32" applyAlignment="1" pivotButton="0" quotePrefix="0" xfId="0">
      <alignment horizontal="center" vertical="top"/>
    </xf>
    <xf numFmtId="9" fontId="0" fillId="0" borderId="0" pivotButton="0" quotePrefix="0" xfId="0"/>
    <xf numFmtId="9" fontId="9" fillId="15" borderId="4" pivotButton="0" quotePrefix="0" xfId="2"/>
    <xf numFmtId="0" fontId="0" fillId="0" borderId="0" applyAlignment="1" pivotButton="0" quotePrefix="0" xfId="0">
      <alignment horizontal="center" vertical="top"/>
    </xf>
    <xf numFmtId="0" fontId="0" fillId="9" borderId="0" pivotButton="0" quotePrefix="0" xfId="0"/>
    <xf numFmtId="14" fontId="0" fillId="9" borderId="0" pivotButton="0" quotePrefix="0" xfId="0"/>
    <xf numFmtId="0" fontId="21" fillId="0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1" fillId="0" borderId="9" pivotButton="0" quotePrefix="0" xfId="0"/>
    <xf numFmtId="169" fontId="0" fillId="0" borderId="34" pivotButton="0" quotePrefix="0" xfId="0"/>
    <xf numFmtId="169" fontId="22" fillId="0" borderId="0" pivotButton="0" quotePrefix="0" xfId="22"/>
    <xf numFmtId="169" fontId="0" fillId="0" borderId="33" pivotButton="0" quotePrefix="0" xfId="0"/>
    <xf numFmtId="169" fontId="0" fillId="0" borderId="5" pivotButton="0" quotePrefix="0" xfId="0"/>
    <xf numFmtId="0" fontId="3" fillId="0" borderId="0" pivotButton="0" quotePrefix="0" xfId="23"/>
    <xf numFmtId="0" fontId="16" fillId="0" borderId="0" pivotButton="0" quotePrefix="0" xfId="23"/>
    <xf numFmtId="169" fontId="26" fillId="7" borderId="0" applyAlignment="1" pivotButton="0" quotePrefix="0" xfId="23">
      <alignment horizontal="center"/>
    </xf>
    <xf numFmtId="0" fontId="27" fillId="0" borderId="1" applyAlignment="1" pivotButton="0" quotePrefix="0" xfId="23">
      <alignment horizontal="center" wrapText="1"/>
    </xf>
    <xf numFmtId="169" fontId="16" fillId="0" borderId="1" applyAlignment="1" pivotButton="0" quotePrefix="0" xfId="23">
      <alignment horizontal="center" wrapText="1"/>
    </xf>
    <xf numFmtId="169" fontId="3" fillId="0" borderId="0" applyAlignment="1" pivotButton="0" quotePrefix="0" xfId="23">
      <alignment horizontal="center"/>
    </xf>
    <xf numFmtId="169" fontId="8" fillId="0" borderId="0" pivotButton="0" quotePrefix="0" xfId="0"/>
    <xf numFmtId="0" fontId="0" fillId="0" borderId="6" pivotButton="0" quotePrefix="0" xfId="0"/>
    <xf numFmtId="0" fontId="8" fillId="0" borderId="38" applyAlignment="1" pivotButton="0" quotePrefix="0" xfId="0">
      <alignment horizontal="center" vertical="center"/>
    </xf>
    <xf numFmtId="0" fontId="8" fillId="17" borderId="6" applyAlignment="1" pivotButton="0" quotePrefix="0" xfId="0">
      <alignment horizontal="center"/>
    </xf>
    <xf numFmtId="0" fontId="8" fillId="7" borderId="38" applyAlignment="1" pivotButton="0" quotePrefix="0" xfId="0">
      <alignment horizontal="center"/>
    </xf>
    <xf numFmtId="169" fontId="8" fillId="19" borderId="38" applyAlignment="1" pivotButton="0" quotePrefix="0" xfId="0">
      <alignment horizontal="center"/>
    </xf>
    <xf numFmtId="0" fontId="8" fillId="21" borderId="38" applyAlignment="1" pivotButton="0" quotePrefix="0" xfId="0">
      <alignment horizontal="center"/>
    </xf>
    <xf numFmtId="169" fontId="8" fillId="18" borderId="6" applyAlignment="1" pivotButton="0" quotePrefix="0" xfId="0">
      <alignment horizontal="center"/>
    </xf>
    <xf numFmtId="0" fontId="8" fillId="16" borderId="38" applyAlignment="1" pivotButton="0" quotePrefix="0" xfId="0">
      <alignment horizontal="center" vertical="center"/>
    </xf>
    <xf numFmtId="0" fontId="8" fillId="2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31" applyAlignment="1" pivotButton="0" quotePrefix="0" xfId="0">
      <alignment horizontal="center" vertical="center"/>
    </xf>
    <xf numFmtId="170" fontId="0" fillId="17" borderId="35" applyAlignment="1" pivotButton="0" quotePrefix="0" xfId="0">
      <alignment horizontal="center"/>
    </xf>
    <xf numFmtId="169" fontId="0" fillId="7" borderId="31" applyAlignment="1" pivotButton="0" quotePrefix="0" xfId="0">
      <alignment horizontal="center"/>
    </xf>
    <xf numFmtId="169" fontId="0" fillId="19" borderId="31" applyAlignment="1" pivotButton="0" quotePrefix="0" xfId="0">
      <alignment horizontal="center"/>
    </xf>
    <xf numFmtId="169" fontId="0" fillId="21" borderId="31" applyAlignment="1" pivotButton="0" quotePrefix="0" xfId="0">
      <alignment horizontal="center"/>
    </xf>
    <xf numFmtId="169" fontId="0" fillId="20" borderId="31" applyAlignment="1" pivotButton="0" quotePrefix="0" xfId="0">
      <alignment horizontal="center"/>
    </xf>
    <xf numFmtId="169" fontId="0" fillId="16" borderId="31" applyAlignment="1" pivotButton="0" quotePrefix="0" xfId="0">
      <alignment horizontal="center" vertical="center"/>
    </xf>
    <xf numFmtId="169" fontId="0" fillId="17" borderId="35" applyAlignment="1" pivotButton="0" quotePrefix="0" xfId="0">
      <alignment horizontal="center"/>
    </xf>
    <xf numFmtId="0" fontId="8" fillId="0" borderId="35" applyAlignment="1" pivotButton="0" quotePrefix="0" xfId="0">
      <alignment horizontal="center"/>
    </xf>
    <xf numFmtId="169" fontId="8" fillId="0" borderId="35" applyAlignment="1" pivotButton="0" quotePrefix="0" xfId="0">
      <alignment horizontal="center"/>
    </xf>
    <xf numFmtId="169" fontId="8" fillId="21" borderId="31" applyAlignment="1" pivotButton="0" quotePrefix="0" xfId="0">
      <alignment horizontal="center"/>
    </xf>
    <xf numFmtId="0" fontId="0" fillId="6" borderId="40" pivotButton="0" quotePrefix="0" xfId="0"/>
    <xf numFmtId="0" fontId="0" fillId="6" borderId="39" applyAlignment="1" pivotButton="0" quotePrefix="0" xfId="0">
      <alignment horizontal="center" vertical="center"/>
    </xf>
    <xf numFmtId="169" fontId="0" fillId="17" borderId="6" applyAlignment="1" pivotButton="0" quotePrefix="0" xfId="0">
      <alignment horizontal="center"/>
    </xf>
    <xf numFmtId="169" fontId="0" fillId="7" borderId="38" applyAlignment="1" pivotButton="0" quotePrefix="0" xfId="0">
      <alignment horizontal="center"/>
    </xf>
    <xf numFmtId="169" fontId="0" fillId="19" borderId="38" applyAlignment="1" pivotButton="0" quotePrefix="0" xfId="0">
      <alignment horizontal="center"/>
    </xf>
    <xf numFmtId="169" fontId="29" fillId="0" borderId="1" applyAlignment="1" pivotButton="0" quotePrefix="0" xfId="23">
      <alignment horizontal="center" wrapText="1"/>
    </xf>
    <xf numFmtId="169" fontId="30" fillId="0" borderId="1" applyAlignment="1" pivotButton="0" quotePrefix="0" xfId="23">
      <alignment horizontal="center"/>
    </xf>
    <xf numFmtId="0" fontId="23" fillId="0" borderId="1" pivotButton="0" quotePrefix="0" xfId="23"/>
    <xf numFmtId="169" fontId="23" fillId="0" borderId="1" applyAlignment="1" pivotButton="0" quotePrefix="0" xfId="23">
      <alignment horizontal="center"/>
    </xf>
    <xf numFmtId="169" fontId="31" fillId="0" borderId="1" applyAlignment="1" pivotButton="0" quotePrefix="0" xfId="23">
      <alignment horizontal="center"/>
    </xf>
    <xf numFmtId="0" fontId="23" fillId="0" borderId="0" pivotButton="0" quotePrefix="0" xfId="23"/>
    <xf numFmtId="0" fontId="32" fillId="11" borderId="1" applyAlignment="1" pivotButton="0" quotePrefix="0" xfId="23">
      <alignment vertical="center" wrapText="1"/>
    </xf>
    <xf numFmtId="0" fontId="20" fillId="12" borderId="6" applyAlignment="1" pivotButton="0" quotePrefix="0" xfId="0">
      <alignment horizontal="center"/>
    </xf>
    <xf numFmtId="0" fontId="20" fillId="12" borderId="7" applyAlignment="1" pivotButton="0" quotePrefix="0" xfId="0">
      <alignment horizontal="center"/>
    </xf>
    <xf numFmtId="0" fontId="20" fillId="12" borderId="8" applyAlignment="1" pivotButton="0" quotePrefix="0" xfId="0">
      <alignment horizontal="center"/>
    </xf>
    <xf numFmtId="0" fontId="8" fillId="0" borderId="24" applyAlignment="1" pivotButton="0" quotePrefix="0" xfId="0">
      <alignment horizontal="center"/>
    </xf>
    <xf numFmtId="170" fontId="0" fillId="18" borderId="35" applyAlignment="1" pivotButton="0" quotePrefix="0" xfId="0">
      <alignment horizontal="center"/>
    </xf>
    <xf numFmtId="169" fontId="0" fillId="20" borderId="1" applyAlignment="1" pivotButton="0" quotePrefix="0" xfId="0">
      <alignment horizontal="center" vertical="center"/>
    </xf>
    <xf numFmtId="169" fontId="0" fillId="20" borderId="1" applyAlignment="1" pivotButton="0" quotePrefix="0" xfId="0">
      <alignment horizontal="center"/>
    </xf>
    <xf numFmtId="0" fontId="0" fillId="8" borderId="39" applyAlignment="1" pivotButton="0" quotePrefix="0" xfId="0">
      <alignment horizontal="center" vertical="center"/>
    </xf>
    <xf numFmtId="169" fontId="8" fillId="0" borderId="42" applyAlignment="1" pivotButton="0" quotePrefix="0" xfId="0">
      <alignment horizontal="center"/>
    </xf>
    <xf numFmtId="0" fontId="8" fillId="0" borderId="43" applyAlignment="1" pivotButton="0" quotePrefix="0" xfId="0">
      <alignment horizontal="center"/>
    </xf>
    <xf numFmtId="169" fontId="8" fillId="0" borderId="44" pivotButton="0" quotePrefix="0" xfId="0"/>
    <xf numFmtId="169" fontId="8" fillId="0" borderId="37" pivotButton="0" quotePrefix="0" xfId="0"/>
    <xf numFmtId="169" fontId="0" fillId="0" borderId="44" applyAlignment="1" pivotButton="0" quotePrefix="0" xfId="0">
      <alignment horizontal="center" vertical="center"/>
    </xf>
    <xf numFmtId="169" fontId="0" fillId="0" borderId="23" pivotButton="0" quotePrefix="0" xfId="0"/>
    <xf numFmtId="0" fontId="2" fillId="0" borderId="0" pivotButton="0" quotePrefix="0" xfId="25"/>
    <xf numFmtId="0" fontId="16" fillId="8" borderId="45" applyAlignment="1" pivotButton="0" quotePrefix="0" xfId="25">
      <alignment wrapText="1"/>
    </xf>
    <xf numFmtId="0" fontId="16" fillId="8" borderId="45" pivotButton="0" quotePrefix="0" xfId="25"/>
    <xf numFmtId="0" fontId="16" fillId="0" borderId="25" pivotButton="0" quotePrefix="0" xfId="25"/>
    <xf numFmtId="0" fontId="24" fillId="0" borderId="25" pivotButton="0" quotePrefix="0" xfId="25"/>
    <xf numFmtId="0" fontId="16" fillId="0" borderId="0" pivotButton="0" quotePrefix="0" xfId="25"/>
    <xf numFmtId="170" fontId="25" fillId="0" borderId="1" pivotButton="0" quotePrefix="0" xfId="25"/>
    <xf numFmtId="0" fontId="25" fillId="0" borderId="1" pivotButton="0" quotePrefix="0" xfId="25"/>
    <xf numFmtId="171" fontId="0" fillId="0" borderId="1" applyAlignment="1" pivotButton="0" quotePrefix="0" xfId="26">
      <alignment horizontal="center"/>
    </xf>
    <xf numFmtId="171" fontId="0" fillId="0" borderId="0" applyAlignment="1" pivotButton="0" quotePrefix="0" xfId="26">
      <alignment horizontal="center"/>
    </xf>
    <xf numFmtId="171" fontId="25" fillId="0" borderId="1" applyAlignment="1" pivotButton="0" quotePrefix="0" xfId="26">
      <alignment horizontal="center"/>
    </xf>
    <xf numFmtId="171" fontId="25" fillId="0" borderId="1" applyAlignment="1" pivotButton="0" quotePrefix="0" xfId="25">
      <alignment horizontal="center"/>
    </xf>
    <xf numFmtId="169" fontId="0" fillId="18" borderId="1" applyAlignment="1" pivotButton="0" quotePrefix="0" xfId="0">
      <alignment horizontal="center"/>
    </xf>
    <xf numFmtId="169" fontId="0" fillId="16" borderId="1" applyAlignment="1" pivotButton="0" quotePrefix="0" xfId="0">
      <alignment horizontal="center"/>
    </xf>
    <xf numFmtId="0" fontId="20" fillId="22" borderId="31" applyAlignment="1" pivotButton="0" quotePrefix="0" xfId="0">
      <alignment horizontal="center"/>
    </xf>
    <xf numFmtId="0" fontId="20" fillId="22" borderId="37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169" fontId="0" fillId="0" borderId="0" pivotButton="0" quotePrefix="0" xfId="3"/>
    <xf numFmtId="169" fontId="8" fillId="4" borderId="36" pivotButton="0" quotePrefix="0" xfId="0"/>
    <xf numFmtId="169" fontId="0" fillId="0" borderId="0" applyAlignment="1" pivotButton="0" quotePrefix="0" xfId="3">
      <alignment horizontal="center"/>
    </xf>
    <xf numFmtId="169" fontId="0" fillId="0" borderId="0" applyAlignment="1" pivotButton="0" quotePrefix="0" xfId="0">
      <alignment horizontal="center"/>
    </xf>
    <xf numFmtId="0" fontId="6" fillId="0" borderId="0" applyAlignment="1" pivotButton="0" quotePrefix="0" xfId="1">
      <alignment horizontal="center"/>
    </xf>
    <xf numFmtId="166" fontId="0" fillId="0" borderId="0" pivotButton="0" quotePrefix="0" xfId="0"/>
    <xf numFmtId="166" fontId="8" fillId="0" borderId="0" pivotButton="0" quotePrefix="0" xfId="0"/>
    <xf numFmtId="0" fontId="8" fillId="0" borderId="46" pivotButton="0" quotePrefix="0" xfId="0"/>
    <xf numFmtId="164" fontId="6" fillId="0" borderId="0" pivotButton="0" quotePrefix="0" xfId="1"/>
    <xf numFmtId="0" fontId="8" fillId="12" borderId="47" pivotButton="0" quotePrefix="0" xfId="0"/>
    <xf numFmtId="169" fontId="8" fillId="12" borderId="48" pivotButton="0" quotePrefix="0" xfId="0"/>
    <xf numFmtId="0" fontId="8" fillId="12" borderId="49" pivotButton="0" quotePrefix="0" xfId="0"/>
    <xf numFmtId="169" fontId="8" fillId="12" borderId="50" pivotButton="0" quotePrefix="0" xfId="0"/>
    <xf numFmtId="169" fontId="30" fillId="12" borderId="1" applyAlignment="1" pivotButton="0" quotePrefix="0" xfId="23">
      <alignment horizontal="center"/>
    </xf>
    <xf numFmtId="0" fontId="3" fillId="12" borderId="0" pivotButton="0" quotePrefix="0" xfId="23"/>
    <xf numFmtId="0" fontId="0" fillId="0" borderId="14" applyAlignment="1" pivotButton="0" quotePrefix="0" xfId="0">
      <alignment horizontal="center" vertical="center"/>
    </xf>
    <xf numFmtId="169" fontId="8" fillId="12" borderId="51" pivotButton="0" quotePrefix="0" xfId="0"/>
    <xf numFmtId="169" fontId="21" fillId="0" borderId="0" pivotButton="0" quotePrefix="0" xfId="0"/>
    <xf numFmtId="169" fontId="0" fillId="18" borderId="35" applyAlignment="1" pivotButton="0" quotePrefix="0" xfId="0">
      <alignment horizontal="center"/>
    </xf>
    <xf numFmtId="169" fontId="0" fillId="16" borderId="30" applyAlignment="1" pivotButton="0" quotePrefix="0" xfId="0">
      <alignment horizontal="center"/>
    </xf>
    <xf numFmtId="169" fontId="0" fillId="20" borderId="31" applyAlignment="1" pivotButton="0" quotePrefix="0" xfId="0">
      <alignment horizontal="center" vertical="center"/>
    </xf>
    <xf numFmtId="172" fontId="0" fillId="0" borderId="0" pivotButton="0" quotePrefix="0" xfId="0"/>
    <xf numFmtId="172" fontId="0" fillId="0" borderId="0" applyAlignment="1" pivotButton="0" quotePrefix="0" xfId="0">
      <alignment horizontal="center" vertical="center"/>
    </xf>
    <xf numFmtId="173" fontId="0" fillId="17" borderId="35" applyAlignment="1" pivotButton="0" quotePrefix="0" xfId="0">
      <alignment horizontal="center"/>
    </xf>
    <xf numFmtId="173" fontId="0" fillId="7" borderId="31" applyAlignment="1" pivotButton="0" quotePrefix="0" xfId="0">
      <alignment horizontal="center"/>
    </xf>
    <xf numFmtId="173" fontId="0" fillId="19" borderId="31" applyAlignment="1" pivotButton="0" quotePrefix="0" xfId="0">
      <alignment horizontal="center"/>
    </xf>
    <xf numFmtId="173" fontId="0" fillId="21" borderId="31" applyAlignment="1" pivotButton="0" quotePrefix="0" xfId="0">
      <alignment horizontal="center"/>
    </xf>
    <xf numFmtId="173" fontId="0" fillId="18" borderId="35" applyAlignment="1" pivotButton="0" quotePrefix="0" xfId="0">
      <alignment horizontal="center"/>
    </xf>
    <xf numFmtId="173" fontId="0" fillId="16" borderId="31" applyAlignment="1" pivotButton="0" quotePrefix="0" xfId="0">
      <alignment horizontal="center" vertical="center"/>
    </xf>
    <xf numFmtId="173" fontId="0" fillId="20" borderId="31" applyAlignment="1" pivotButton="0" quotePrefix="0" xfId="0">
      <alignment horizontal="center"/>
    </xf>
    <xf numFmtId="173" fontId="8" fillId="21" borderId="31" applyAlignment="1" pivotButton="0" quotePrefix="0" xfId="0">
      <alignment horizontal="center"/>
    </xf>
    <xf numFmtId="173" fontId="8" fillId="0" borderId="35" applyAlignment="1" pivotButton="0" quotePrefix="0" xfId="0">
      <alignment horizontal="center"/>
    </xf>
    <xf numFmtId="173" fontId="0" fillId="17" borderId="6" applyAlignment="1" pivotButton="0" quotePrefix="0" xfId="0">
      <alignment horizontal="center"/>
    </xf>
    <xf numFmtId="173" fontId="0" fillId="7" borderId="38" applyAlignment="1" pivotButton="0" quotePrefix="0" xfId="0">
      <alignment horizontal="center"/>
    </xf>
    <xf numFmtId="173" fontId="0" fillId="19" borderId="38" applyAlignment="1" pivotButton="0" quotePrefix="0" xfId="0">
      <alignment horizontal="center"/>
    </xf>
    <xf numFmtId="173" fontId="0" fillId="18" borderId="1" applyAlignment="1" pivotButton="0" quotePrefix="0" xfId="0">
      <alignment horizontal="center"/>
    </xf>
    <xf numFmtId="173" fontId="0" fillId="16" borderId="1" applyAlignment="1" pivotButton="0" quotePrefix="0" xfId="0">
      <alignment horizontal="center"/>
    </xf>
    <xf numFmtId="173" fontId="0" fillId="20" borderId="1" applyAlignment="1" pivotButton="0" quotePrefix="0" xfId="0">
      <alignment horizontal="center" vertical="center"/>
    </xf>
    <xf numFmtId="173" fontId="0" fillId="20" borderId="1" applyAlignment="1" pivotButton="0" quotePrefix="0" xfId="0">
      <alignment horizontal="center"/>
    </xf>
    <xf numFmtId="173" fontId="0" fillId="16" borderId="30" applyAlignment="1" pivotButton="0" quotePrefix="0" xfId="0">
      <alignment horizontal="center"/>
    </xf>
    <xf numFmtId="173" fontId="0" fillId="20" borderId="31" applyAlignment="1" pivotButton="0" quotePrefix="0" xfId="0">
      <alignment horizontal="center" vertical="center"/>
    </xf>
    <xf numFmtId="173" fontId="8" fillId="12" borderId="50" pivotButton="0" quotePrefix="0" xfId="0"/>
    <xf numFmtId="173" fontId="8" fillId="12" borderId="48" pivotButton="0" quotePrefix="0" xfId="0"/>
    <xf numFmtId="173" fontId="0" fillId="0" borderId="0" pivotButton="0" quotePrefix="0" xfId="0"/>
    <xf numFmtId="173" fontId="0" fillId="0" borderId="0" applyAlignment="1" pivotButton="0" quotePrefix="0" xfId="0">
      <alignment horizontal="center" vertical="center"/>
    </xf>
    <xf numFmtId="173" fontId="0" fillId="0" borderId="33" pivotButton="0" quotePrefix="0" xfId="0"/>
    <xf numFmtId="173" fontId="0" fillId="0" borderId="34" pivotButton="0" quotePrefix="0" xfId="0"/>
    <xf numFmtId="173" fontId="8" fillId="0" borderId="44" pivotButton="0" quotePrefix="0" xfId="0"/>
    <xf numFmtId="173" fontId="8" fillId="0" borderId="37" pivotButton="0" quotePrefix="0" xfId="0"/>
    <xf numFmtId="173" fontId="0" fillId="0" borderId="5" pivotButton="0" quotePrefix="0" xfId="0"/>
    <xf numFmtId="173" fontId="0" fillId="0" borderId="44" applyAlignment="1" pivotButton="0" quotePrefix="0" xfId="0">
      <alignment horizontal="center" vertical="center"/>
    </xf>
    <xf numFmtId="166" fontId="0" fillId="0" borderId="52" pivotButton="0" quotePrefix="0" xfId="0"/>
    <xf numFmtId="166" fontId="0" fillId="0" borderId="13" pivotButton="0" quotePrefix="0" xfId="0"/>
    <xf numFmtId="0" fontId="8" fillId="0" borderId="1" pivotButton="0" quotePrefix="0" xfId="0"/>
    <xf numFmtId="166" fontId="0" fillId="0" borderId="31" pivotButton="0" quotePrefix="0" xfId="0"/>
    <xf numFmtId="167" fontId="6" fillId="0" borderId="30" applyAlignment="1" pivotButton="0" quotePrefix="0" xfId="2">
      <alignment horizontal="right"/>
    </xf>
    <xf numFmtId="0" fontId="16" fillId="8" borderId="28" pivotButton="0" quotePrefix="0" xfId="25"/>
    <xf numFmtId="0" fontId="16" fillId="8" borderId="45" applyAlignment="1" pivotButton="0" quotePrefix="0" xfId="25">
      <alignment vertical="center"/>
    </xf>
    <xf numFmtId="0" fontId="16" fillId="8" borderId="45" applyAlignment="1" pivotButton="0" quotePrefix="0" xfId="25">
      <alignment vertical="center" wrapText="1"/>
    </xf>
    <xf numFmtId="0" fontId="16" fillId="8" borderId="28" applyAlignment="1" pivotButton="0" quotePrefix="0" xfId="25">
      <alignment vertical="center"/>
    </xf>
    <xf numFmtId="166" fontId="8" fillId="0" borderId="1" pivotButton="0" quotePrefix="0" xfId="0"/>
    <xf numFmtId="166" fontId="8" fillId="0" borderId="2" pivotButton="0" quotePrefix="0" xfId="0"/>
    <xf numFmtId="167" fontId="8" fillId="0" borderId="3" applyAlignment="1" pivotButton="0" quotePrefix="0" xfId="2">
      <alignment horizontal="right"/>
    </xf>
    <xf numFmtId="166" fontId="8" fillId="0" borderId="27" pivotButton="0" quotePrefix="0" xfId="0"/>
    <xf numFmtId="166" fontId="8" fillId="0" borderId="21" pivotButton="0" quotePrefix="0" xfId="0"/>
    <xf numFmtId="167" fontId="8" fillId="0" borderId="22" applyAlignment="1" pivotButton="0" quotePrefix="0" xfId="2">
      <alignment horizontal="right"/>
    </xf>
    <xf numFmtId="164" fontId="8" fillId="2" borderId="28" pivotButton="0" quotePrefix="0" xfId="1"/>
    <xf numFmtId="166" fontId="8" fillId="0" borderId="28" pivotButton="0" quotePrefix="0" xfId="0"/>
    <xf numFmtId="166" fontId="8" fillId="2" borderId="21" pivotButton="0" quotePrefix="0" xfId="1"/>
    <xf numFmtId="166" fontId="8" fillId="2" borderId="28" pivotButton="0" quotePrefix="0" xfId="1"/>
    <xf numFmtId="0" fontId="20" fillId="0" borderId="0" applyAlignment="1" pivotButton="0" quotePrefix="0" xfId="0">
      <alignment horizontal="center"/>
    </xf>
    <xf numFmtId="169" fontId="20" fillId="0" borderId="0" applyAlignment="1" pivotButton="0" quotePrefix="0" xfId="3">
      <alignment horizontal="center"/>
    </xf>
    <xf numFmtId="9" fontId="20" fillId="0" borderId="0" applyAlignment="1" pivotButton="0" quotePrefix="0" xfId="2">
      <alignment horizontal="left"/>
    </xf>
    <xf numFmtId="0" fontId="20" fillId="0" borderId="0" applyAlignment="1" pivotButton="0" quotePrefix="0" xfId="0">
      <alignment horizontal="left"/>
    </xf>
    <xf numFmtId="0" fontId="34" fillId="0" borderId="0" pivotButton="0" quotePrefix="0" xfId="0"/>
    <xf numFmtId="0" fontId="3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9" fillId="2" borderId="4" applyAlignment="1" pivotButton="0" quotePrefix="0" xfId="1">
      <alignment horizontal="left"/>
    </xf>
    <xf numFmtId="9" fontId="0" fillId="0" borderId="1" pivotButton="0" quotePrefix="0" xfId="2"/>
    <xf numFmtId="9" fontId="0" fillId="0" borderId="53" pivotButton="0" quotePrefix="0" xfId="2"/>
    <xf numFmtId="0" fontId="8" fillId="26" borderId="1" applyAlignment="1" pivotButton="0" quotePrefix="0" xfId="0">
      <alignment horizontal="center"/>
    </xf>
    <xf numFmtId="9" fontId="8" fillId="0" borderId="25" pivotButton="0" quotePrefix="0" xfId="2"/>
    <xf numFmtId="169" fontId="0" fillId="0" borderId="53" pivotButton="0" quotePrefix="0" xfId="0"/>
    <xf numFmtId="0" fontId="0" fillId="0" borderId="52" pivotButton="0" quotePrefix="0" xfId="0"/>
    <xf numFmtId="169" fontId="6" fillId="0" borderId="0" pivotButton="0" quotePrefix="0" xfId="1"/>
    <xf numFmtId="174" fontId="0" fillId="0" borderId="0" pivotButton="0" quotePrefix="0" xfId="0"/>
    <xf numFmtId="0" fontId="0" fillId="0" borderId="12" pivotButton="0" quotePrefix="0" xfId="0"/>
    <xf numFmtId="169" fontId="0" fillId="0" borderId="10" applyAlignment="1" pivotButton="0" quotePrefix="0" xfId="0">
      <alignment horizontal="center" vertical="center"/>
    </xf>
    <xf numFmtId="169" fontId="0" fillId="0" borderId="15" pivotButton="0" quotePrefix="0" xfId="0"/>
    <xf numFmtId="172" fontId="0" fillId="0" borderId="10" applyAlignment="1" pivotButton="0" quotePrefix="0" xfId="0">
      <alignment horizontal="center" vertical="center"/>
    </xf>
    <xf numFmtId="173" fontId="0" fillId="0" borderId="15" pivotButton="0" quotePrefix="0" xfId="0"/>
    <xf numFmtId="170" fontId="0" fillId="0" borderId="0" applyAlignment="1" pivotButton="0" quotePrefix="0" xfId="0">
      <alignment horizontal="center"/>
    </xf>
    <xf numFmtId="0" fontId="8" fillId="0" borderId="25" pivotButton="0" quotePrefix="0" xfId="0"/>
    <xf numFmtId="0" fontId="20" fillId="26" borderId="1" pivotButton="0" quotePrefix="0" xfId="0"/>
    <xf numFmtId="0" fontId="0" fillId="0" borderId="0" applyAlignment="1" pivotButton="0" quotePrefix="0" xfId="0">
      <alignment horizontal="left" indent="1"/>
    </xf>
    <xf numFmtId="169" fontId="20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/>
    </xf>
    <xf numFmtId="169" fontId="6" fillId="0" borderId="0" pivotButton="0" quotePrefix="0" xfId="3"/>
    <xf numFmtId="0" fontId="0" fillId="0" borderId="60" pivotButton="0" quotePrefix="0" xfId="0"/>
    <xf numFmtId="0" fontId="13" fillId="0" borderId="60" applyAlignment="1" pivotButton="0" quotePrefix="0" xfId="0">
      <alignment horizontal="center"/>
    </xf>
    <xf numFmtId="169" fontId="13" fillId="0" borderId="60" applyAlignment="1" pivotButton="0" quotePrefix="0" xfId="3">
      <alignment horizontal="center"/>
    </xf>
    <xf numFmtId="0" fontId="8" fillId="0" borderId="60" applyAlignment="1" pivotButton="0" quotePrefix="0" xfId="1">
      <alignment horizontal="center"/>
    </xf>
    <xf numFmtId="169" fontId="0" fillId="0" borderId="60" pivotButton="0" quotePrefix="0" xfId="3"/>
    <xf numFmtId="169" fontId="13" fillId="0" borderId="60" applyAlignment="1" pivotButton="0" quotePrefix="0" xfId="0">
      <alignment horizontal="center"/>
    </xf>
    <xf numFmtId="169" fontId="0" fillId="0" borderId="60" pivotButton="0" quotePrefix="0" xfId="0"/>
    <xf numFmtId="9" fontId="0" fillId="0" borderId="60" pivotButton="0" quotePrefix="0" xfId="2"/>
    <xf numFmtId="0" fontId="6" fillId="0" borderId="60" applyAlignment="1" pivotButton="0" quotePrefix="0" xfId="0">
      <alignment horizontal="center"/>
    </xf>
    <xf numFmtId="0" fontId="6" fillId="0" borderId="60" applyAlignment="1" pivotButton="0" quotePrefix="0" xfId="1">
      <alignment horizontal="center"/>
    </xf>
    <xf numFmtId="169" fontId="6" fillId="0" borderId="60" pivotButton="0" quotePrefix="0" xfId="1"/>
    <xf numFmtId="169" fontId="6" fillId="0" borderId="60" pivotButton="0" quotePrefix="0" xfId="3"/>
    <xf numFmtId="0" fontId="0" fillId="0" borderId="60" applyAlignment="1" pivotButton="0" quotePrefix="0" xfId="0">
      <alignment horizontal="center"/>
    </xf>
    <xf numFmtId="169" fontId="0" fillId="0" borderId="13" pivotButton="0" quotePrefix="0" xfId="0"/>
    <xf numFmtId="0" fontId="9" fillId="2" borderId="59" applyAlignment="1" pivotButton="0" quotePrefix="0" xfId="1">
      <alignment horizontal="left"/>
    </xf>
    <xf numFmtId="169" fontId="8" fillId="0" borderId="0" applyAlignment="1" pivotButton="0" quotePrefix="0" xfId="27">
      <alignment horizontal="center"/>
    </xf>
    <xf numFmtId="9" fontId="8" fillId="0" borderId="0" applyAlignment="1" pivotButton="0" quotePrefix="0" xfId="27">
      <alignment horizontal="center"/>
    </xf>
    <xf numFmtId="169" fontId="8" fillId="12" borderId="61" pivotButton="0" quotePrefix="0" xfId="0"/>
    <xf numFmtId="0" fontId="0" fillId="12" borderId="12" pivotButton="0" quotePrefix="0" xfId="0"/>
    <xf numFmtId="0" fontId="8" fillId="12" borderId="13" applyAlignment="1" pivotButton="0" quotePrefix="0" xfId="0">
      <alignment horizontal="center" vertical="center"/>
    </xf>
    <xf numFmtId="169" fontId="8" fillId="12" borderId="15" pivotButton="0" quotePrefix="0" xfId="0"/>
    <xf numFmtId="0" fontId="11" fillId="24" borderId="6" pivotButton="0" quotePrefix="0" xfId="0"/>
    <xf numFmtId="0" fontId="11" fillId="24" borderId="7" applyAlignment="1" pivotButton="0" quotePrefix="0" xfId="0">
      <alignment horizontal="center" vertical="center"/>
    </xf>
    <xf numFmtId="169" fontId="8" fillId="21" borderId="62" applyAlignment="1" pivotButton="0" quotePrefix="0" xfId="0">
      <alignment horizontal="center"/>
    </xf>
    <xf numFmtId="169" fontId="8" fillId="21" borderId="37" applyAlignment="1" pivotButton="0" quotePrefix="0" xfId="0">
      <alignment horizontal="center"/>
    </xf>
    <xf numFmtId="0" fontId="0" fillId="8" borderId="40" pivotButton="0" quotePrefix="0" xfId="0"/>
    <xf numFmtId="169" fontId="8" fillId="8" borderId="63" applyAlignment="1" pivotButton="0" quotePrefix="0" xfId="0">
      <alignment horizontal="center"/>
    </xf>
    <xf numFmtId="169" fontId="0" fillId="21" borderId="37" applyAlignment="1" pivotButton="0" quotePrefix="0" xfId="0">
      <alignment horizontal="center"/>
    </xf>
    <xf numFmtId="0" fontId="0" fillId="0" borderId="64" pivotButton="0" quotePrefix="0" xfId="0"/>
    <xf numFmtId="0" fontId="0" fillId="0" borderId="65" applyAlignment="1" pivotButton="0" quotePrefix="0" xfId="0">
      <alignment horizontal="center" vertical="center"/>
    </xf>
    <xf numFmtId="169" fontId="0" fillId="17" borderId="64" applyAlignment="1" pivotButton="0" quotePrefix="0" xfId="0">
      <alignment horizontal="center"/>
    </xf>
    <xf numFmtId="169" fontId="8" fillId="7" borderId="65" applyAlignment="1" pivotButton="0" quotePrefix="0" xfId="0">
      <alignment horizontal="center"/>
    </xf>
    <xf numFmtId="169" fontId="8" fillId="19" borderId="65" applyAlignment="1" pivotButton="0" quotePrefix="0" xfId="0">
      <alignment horizontal="center"/>
    </xf>
    <xf numFmtId="169" fontId="8" fillId="21" borderId="65" applyAlignment="1" pivotButton="0" quotePrefix="0" xfId="0">
      <alignment horizontal="center"/>
    </xf>
    <xf numFmtId="169" fontId="8" fillId="18" borderId="66" applyAlignment="1" pivotButton="0" quotePrefix="0" xfId="0">
      <alignment horizontal="center"/>
    </xf>
    <xf numFmtId="169" fontId="8" fillId="16" borderId="66" applyAlignment="1" pivotButton="0" quotePrefix="0" xfId="0">
      <alignment horizontal="center"/>
    </xf>
    <xf numFmtId="169" fontId="8" fillId="20" borderId="66" applyAlignment="1" pivotButton="0" quotePrefix="0" xfId="0">
      <alignment horizontal="center" vertical="center"/>
    </xf>
    <xf numFmtId="169" fontId="8" fillId="20" borderId="66" applyAlignment="1" pivotButton="0" quotePrefix="0" xfId="0">
      <alignment horizontal="center"/>
    </xf>
    <xf numFmtId="169" fontId="8" fillId="21" borderId="67" applyAlignment="1" pivotButton="0" quotePrefix="0" xfId="0">
      <alignment horizontal="center"/>
    </xf>
    <xf numFmtId="0" fontId="0" fillId="0" borderId="68" pivotButton="0" quotePrefix="0" xfId="0"/>
    <xf numFmtId="0" fontId="0" fillId="0" borderId="69" pivotButton="0" quotePrefix="0" xfId="0"/>
    <xf numFmtId="0" fontId="8" fillId="0" borderId="65" applyAlignment="1" pivotButton="0" quotePrefix="0" xfId="0">
      <alignment horizontal="center" vertical="center"/>
    </xf>
    <xf numFmtId="169" fontId="8" fillId="4" borderId="46" pivotButton="0" quotePrefix="0" xfId="0"/>
    <xf numFmtId="0" fontId="8" fillId="0" borderId="7" pivotButton="0" quotePrefix="0" xfId="0"/>
    <xf numFmtId="0" fontId="0" fillId="0" borderId="42" pivotButton="0" quotePrefix="0" xfId="0"/>
    <xf numFmtId="0" fontId="0" fillId="0" borderId="10" pivotButton="0" quotePrefix="0" xfId="0"/>
    <xf numFmtId="0" fontId="0" fillId="0" borderId="44" pivotButton="0" quotePrefix="0" xfId="0"/>
    <xf numFmtId="169" fontId="0" fillId="0" borderId="10" pivotButton="0" quotePrefix="0" xfId="0"/>
    <xf numFmtId="169" fontId="0" fillId="0" borderId="72" applyAlignment="1" pivotButton="0" quotePrefix="0" xfId="0">
      <alignment horizontal="center" vertical="center"/>
    </xf>
    <xf numFmtId="169" fontId="0" fillId="0" borderId="67" pivotButton="0" quotePrefix="0" xfId="0"/>
    <xf numFmtId="169" fontId="0" fillId="0" borderId="73" pivotButton="0" quotePrefix="0" xfId="0"/>
    <xf numFmtId="173" fontId="8" fillId="12" borderId="15" pivotButton="0" quotePrefix="0" xfId="0"/>
    <xf numFmtId="173" fontId="8" fillId="21" borderId="37" applyAlignment="1" pivotButton="0" quotePrefix="0" xfId="0">
      <alignment horizontal="center"/>
    </xf>
    <xf numFmtId="173" fontId="0" fillId="21" borderId="37" applyAlignment="1" pivotButton="0" quotePrefix="0" xfId="0">
      <alignment horizontal="center"/>
    </xf>
    <xf numFmtId="173" fontId="0" fillId="17" borderId="64" applyAlignment="1" pivotButton="0" quotePrefix="0" xfId="0">
      <alignment horizontal="center"/>
    </xf>
    <xf numFmtId="173" fontId="8" fillId="7" borderId="65" applyAlignment="1" pivotButton="0" quotePrefix="0" xfId="0">
      <alignment horizontal="center"/>
    </xf>
    <xf numFmtId="173" fontId="8" fillId="19" borderId="65" applyAlignment="1" pivotButton="0" quotePrefix="0" xfId="0">
      <alignment horizontal="center"/>
    </xf>
    <xf numFmtId="173" fontId="8" fillId="21" borderId="65" applyAlignment="1" pivotButton="0" quotePrefix="0" xfId="0">
      <alignment horizontal="center"/>
    </xf>
    <xf numFmtId="173" fontId="8" fillId="18" borderId="66" applyAlignment="1" pivotButton="0" quotePrefix="0" xfId="0">
      <alignment horizontal="center"/>
    </xf>
    <xf numFmtId="173" fontId="8" fillId="16" borderId="66" applyAlignment="1" pivotButton="0" quotePrefix="0" xfId="0">
      <alignment horizontal="center"/>
    </xf>
    <xf numFmtId="173" fontId="8" fillId="20" borderId="66" applyAlignment="1" pivotButton="0" quotePrefix="0" xfId="0">
      <alignment horizontal="center" vertical="center"/>
    </xf>
    <xf numFmtId="173" fontId="8" fillId="20" borderId="66" applyAlignment="1" pivotButton="0" quotePrefix="0" xfId="0">
      <alignment horizontal="center"/>
    </xf>
    <xf numFmtId="173" fontId="8" fillId="21" borderId="67" applyAlignment="1" pivotButton="0" quotePrefix="0" xfId="0">
      <alignment horizontal="center"/>
    </xf>
    <xf numFmtId="173" fontId="0" fillId="0" borderId="10" applyAlignment="1" pivotButton="0" quotePrefix="0" xfId="0">
      <alignment horizontal="center" vertical="center"/>
    </xf>
    <xf numFmtId="173" fontId="8" fillId="0" borderId="15" applyAlignment="1" pivotButton="0" quotePrefix="0" xfId="3">
      <alignment horizontal="center" vertical="center"/>
    </xf>
    <xf numFmtId="173" fontId="8" fillId="4" borderId="46" pivotButton="0" quotePrefix="0" xfId="0"/>
    <xf numFmtId="172" fontId="0" fillId="0" borderId="12" pivotButton="0" quotePrefix="0" xfId="0"/>
    <xf numFmtId="172" fontId="0" fillId="0" borderId="72" applyAlignment="1" pivotButton="0" quotePrefix="0" xfId="0">
      <alignment horizontal="center" vertical="center"/>
    </xf>
    <xf numFmtId="172" fontId="0" fillId="0" borderId="67" pivotButton="0" quotePrefix="0" xfId="0"/>
    <xf numFmtId="172" fontId="0" fillId="0" borderId="73" pivotButton="0" quotePrefix="0" xfId="0"/>
    <xf numFmtId="172" fontId="0" fillId="0" borderId="13" pivotButton="0" quotePrefix="0" xfId="0"/>
    <xf numFmtId="4" fontId="0" fillId="0" borderId="1" pivotButton="0" quotePrefix="0" xfId="0"/>
    <xf numFmtId="4" fontId="8" fillId="0" borderId="25" pivotButton="0" quotePrefix="0" xfId="0"/>
    <xf numFmtId="169" fontId="37" fillId="29" borderId="0" pivotButton="0" quotePrefix="0" xfId="0"/>
    <xf numFmtId="9" fontId="37" fillId="29" borderId="0" pivotButton="0" quotePrefix="0" xfId="2"/>
    <xf numFmtId="169" fontId="37" fillId="31" borderId="0" pivotButton="0" quotePrefix="0" xfId="0"/>
    <xf numFmtId="9" fontId="37" fillId="31" borderId="0" pivotButton="0" quotePrefix="0" xfId="2"/>
    <xf numFmtId="170" fontId="0" fillId="0" borderId="0" applyAlignment="1" pivotButton="0" quotePrefix="0" xfId="0">
      <alignment horizontal="center" vertical="center"/>
    </xf>
    <xf numFmtId="0" fontId="0" fillId="0" borderId="74" pivotButton="0" quotePrefix="0" xfId="0"/>
    <xf numFmtId="0" fontId="0" fillId="0" borderId="75" applyAlignment="1" pivotButton="0" quotePrefix="0" xfId="0">
      <alignment horizontal="center" vertical="center"/>
    </xf>
    <xf numFmtId="170" fontId="0" fillId="0" borderId="75" applyAlignment="1" pivotButton="0" quotePrefix="0" xfId="0">
      <alignment horizontal="center" vertical="center"/>
    </xf>
    <xf numFmtId="170" fontId="0" fillId="0" borderId="76" applyAlignment="1" pivotButton="0" quotePrefix="0" xfId="0">
      <alignment horizontal="center" vertical="center"/>
    </xf>
    <xf numFmtId="0" fontId="0" fillId="0" borderId="77" pivotButton="0" quotePrefix="0" xfId="0"/>
    <xf numFmtId="170" fontId="0" fillId="0" borderId="78" applyAlignment="1" pivotButton="0" quotePrefix="0" xfId="0">
      <alignment horizontal="center" vertical="center"/>
    </xf>
    <xf numFmtId="0" fontId="0" fillId="0" borderId="79" pivotButton="0" quotePrefix="0" xfId="0"/>
    <xf numFmtId="0" fontId="8" fillId="0" borderId="80" applyAlignment="1" pivotButton="0" quotePrefix="0" xfId="0">
      <alignment horizontal="center" vertical="center"/>
    </xf>
    <xf numFmtId="169" fontId="8" fillId="0" borderId="80" applyAlignment="1" pivotButton="0" quotePrefix="0" xfId="3">
      <alignment horizontal="center" vertical="center"/>
    </xf>
    <xf numFmtId="169" fontId="8" fillId="0" borderId="81" applyAlignment="1" pivotButton="0" quotePrefix="0" xfId="3">
      <alignment horizontal="center" vertical="center"/>
    </xf>
    <xf numFmtId="0" fontId="0" fillId="0" borderId="10" applyAlignment="1" pivotButton="0" quotePrefix="0" xfId="0">
      <alignment horizontal="center"/>
    </xf>
    <xf numFmtId="0" fontId="11" fillId="32" borderId="1" pivotButton="0" quotePrefix="0" xfId="0"/>
    <xf numFmtId="0" fontId="11" fillId="33" borderId="1" pivotButton="0" quotePrefix="0" xfId="0"/>
    <xf numFmtId="0" fontId="0" fillId="8" borderId="0" pivotButton="0" quotePrefix="0" xfId="0"/>
    <xf numFmtId="0" fontId="1" fillId="0" borderId="1" pivotButton="0" quotePrefix="0" xfId="19"/>
    <xf numFmtId="0" fontId="1" fillId="0" borderId="1" applyAlignment="1" pivotButton="0" quotePrefix="0" xfId="19">
      <alignment wrapText="1"/>
    </xf>
    <xf numFmtId="0" fontId="8" fillId="0" borderId="56" pivotButton="0" quotePrefix="0" xfId="0"/>
    <xf numFmtId="0" fontId="11" fillId="34" borderId="1" pivotButton="0" quotePrefix="0" xfId="0"/>
    <xf numFmtId="164" fontId="0" fillId="0" borderId="1" pivotButton="0" quotePrefix="0" xfId="0"/>
    <xf numFmtId="164" fontId="0" fillId="0" borderId="53" pivotButton="0" quotePrefix="0" xfId="0"/>
    <xf numFmtId="164" fontId="8" fillId="0" borderId="56" pivotButton="0" quotePrefix="0" xfId="0"/>
    <xf numFmtId="164" fontId="8" fillId="0" borderId="25" pivotButton="0" quotePrefix="0" xfId="0"/>
    <xf numFmtId="164" fontId="0" fillId="0" borderId="52" pivotButton="0" quotePrefix="0" xfId="0"/>
    <xf numFmtId="0" fontId="11" fillId="0" borderId="0" applyAlignment="1" pivotButton="0" quotePrefix="0" xfId="0">
      <alignment horizontal="left"/>
    </xf>
    <xf numFmtId="0" fontId="0" fillId="0" borderId="19" pivotButton="0" quotePrefix="0" xfId="0"/>
    <xf numFmtId="169" fontId="0" fillId="0" borderId="23" applyAlignment="1" pivotButton="0" quotePrefix="0" xfId="0">
      <alignment horizontal="center" vertical="center"/>
    </xf>
    <xf numFmtId="0" fontId="0" fillId="0" borderId="14" pivotButton="0" quotePrefix="0" xfId="0"/>
    <xf numFmtId="169" fontId="8" fillId="0" borderId="82" pivotButton="0" quotePrefix="0" xfId="0"/>
    <xf numFmtId="0" fontId="0" fillId="0" borderId="30" pivotButton="0" quotePrefix="0" xfId="0"/>
    <xf numFmtId="169" fontId="0" fillId="0" borderId="0" pivotButton="0" quotePrefix="0" xfId="28"/>
    <xf numFmtId="0" fontId="0" fillId="0" borderId="83" pivotButton="0" quotePrefix="0" xfId="0"/>
    <xf numFmtId="169" fontId="8" fillId="4" borderId="84" pivotButton="0" quotePrefix="0" xfId="0"/>
    <xf numFmtId="169" fontId="8" fillId="0" borderId="0" applyAlignment="1" pivotButton="0" quotePrefix="0" xfId="28">
      <alignment horizontal="center" vertical="center"/>
    </xf>
    <xf numFmtId="0" fontId="8" fillId="0" borderId="31" applyAlignment="1" pivotButton="0" quotePrefix="0" xfId="0">
      <alignment horizontal="center" vertical="center"/>
    </xf>
    <xf numFmtId="169" fontId="22" fillId="0" borderId="0" pivotButton="0" quotePrefix="0" xfId="29"/>
    <xf numFmtId="169" fontId="8" fillId="12" borderId="23" pivotButton="0" quotePrefix="0" xfId="0"/>
    <xf numFmtId="0" fontId="8" fillId="12" borderId="18" applyAlignment="1" pivotButton="0" quotePrefix="0" xfId="0">
      <alignment horizontal="center" vertical="center"/>
    </xf>
    <xf numFmtId="0" fontId="0" fillId="12" borderId="19" pivotButton="0" quotePrefix="0" xfId="0"/>
    <xf numFmtId="169" fontId="8" fillId="20" borderId="1" applyAlignment="1" pivotButton="0" quotePrefix="0" xfId="0">
      <alignment horizontal="center"/>
    </xf>
    <xf numFmtId="169" fontId="8" fillId="20" borderId="1" applyAlignment="1" pivotButton="0" quotePrefix="0" xfId="0">
      <alignment horizontal="center" vertical="center"/>
    </xf>
    <xf numFmtId="169" fontId="8" fillId="16" borderId="1" applyAlignment="1" pivotButton="0" quotePrefix="0" xfId="0">
      <alignment horizontal="center"/>
    </xf>
    <xf numFmtId="169" fontId="8" fillId="18" borderId="1" applyAlignment="1" pivotButton="0" quotePrefix="0" xfId="0">
      <alignment horizontal="center"/>
    </xf>
    <xf numFmtId="169" fontId="8" fillId="19" borderId="31" applyAlignment="1" pivotButton="0" quotePrefix="0" xfId="0">
      <alignment horizontal="center"/>
    </xf>
    <xf numFmtId="169" fontId="8" fillId="7" borderId="31" applyAlignment="1" pivotButton="0" quotePrefix="0" xfId="0">
      <alignment horizontal="center"/>
    </xf>
    <xf numFmtId="169" fontId="8" fillId="8" borderId="39" applyAlignment="1" pivotButton="0" quotePrefix="0" xfId="0">
      <alignment horizontal="center"/>
    </xf>
    <xf numFmtId="0" fontId="0" fillId="8" borderId="85" pivotButton="0" quotePrefix="0" xfId="0"/>
    <xf numFmtId="169" fontId="21" fillId="0" borderId="10" pivotButton="0" quotePrefix="0" xfId="0"/>
    <xf numFmtId="0" fontId="8" fillId="0" borderId="8" applyAlignment="1" pivotButton="0" quotePrefix="0" xfId="0">
      <alignment horizontal="center"/>
    </xf>
    <xf numFmtId="169" fontId="8" fillId="21" borderId="38" applyAlignment="1" pivotButton="0" quotePrefix="0" xfId="0">
      <alignment horizontal="center"/>
    </xf>
    <xf numFmtId="0" fontId="11" fillId="24" borderId="39" applyAlignment="1" pivotButton="0" quotePrefix="0" xfId="0">
      <alignment horizontal="center" vertical="center"/>
    </xf>
    <xf numFmtId="0" fontId="11" fillId="24" borderId="85" pivotButton="0" quotePrefix="0" xfId="0"/>
    <xf numFmtId="0" fontId="0" fillId="0" borderId="0" pivotButton="0" quotePrefix="0" xfId="0"/>
    <xf numFmtId="0" fontId="33" fillId="0" borderId="0" pivotButton="0" quotePrefix="0" xfId="0"/>
    <xf numFmtId="0" fontId="0" fillId="0" borderId="53" pivotButton="0" quotePrefix="0" xfId="0"/>
    <xf numFmtId="0" fontId="8" fillId="26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7" pivotButton="0" quotePrefix="0" xfId="0"/>
    <xf numFmtId="0" fontId="0" fillId="0" borderId="8" pivotButton="0" quotePrefix="0" xfId="0"/>
    <xf numFmtId="169" fontId="0" fillId="0" borderId="0" pivotButton="0" quotePrefix="0" xfId="0"/>
    <xf numFmtId="0" fontId="8" fillId="0" borderId="0" applyAlignment="1" pivotButton="0" quotePrefix="0" xfId="0">
      <alignment horizontal="left"/>
    </xf>
    <xf numFmtId="169" fontId="0" fillId="0" borderId="0" pivotButton="0" quotePrefix="0" xfId="3"/>
    <xf numFmtId="0" fontId="8" fillId="0" borderId="0" applyAlignment="1" pivotButton="0" quotePrefix="0" xfId="0">
      <alignment horizontal="center"/>
    </xf>
    <xf numFmtId="0" fontId="37" fillId="29" borderId="0" pivotButton="0" quotePrefix="0" xfId="0"/>
    <xf numFmtId="0" fontId="37" fillId="31" borderId="0" pivotButton="0" quotePrefix="0" xfId="0"/>
    <xf numFmtId="0" fontId="8" fillId="0" borderId="7" applyAlignment="1" pivotButton="0" quotePrefix="0" xfId="0">
      <alignment horizontal="center"/>
    </xf>
    <xf numFmtId="169" fontId="0" fillId="0" borderId="0" pivotButton="0" quotePrefix="0" xfId="0"/>
    <xf numFmtId="0" fontId="11" fillId="30" borderId="1" applyAlignment="1" pivotButton="0" quotePrefix="0" xfId="0">
      <alignment horizontal="left"/>
    </xf>
    <xf numFmtId="0" fontId="20" fillId="6" borderId="0" applyAlignment="1" pivotButton="0" quotePrefix="0" xfId="0">
      <alignment horizontal="left"/>
    </xf>
    <xf numFmtId="0" fontId="36" fillId="0" borderId="0" applyAlignment="1" pivotButton="0" quotePrefix="0" xfId="0">
      <alignment horizontal="left" vertical="center"/>
    </xf>
    <xf numFmtId="0" fontId="8" fillId="0" borderId="54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0" fillId="8" borderId="41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8" fillId="5" borderId="70" applyAlignment="1" pivotButton="0" quotePrefix="0" xfId="0">
      <alignment horizontal="center"/>
    </xf>
    <xf numFmtId="0" fontId="8" fillId="5" borderId="9" applyAlignment="1" pivotButton="0" quotePrefix="0" xfId="0">
      <alignment horizontal="center"/>
    </xf>
    <xf numFmtId="0" fontId="8" fillId="5" borderId="3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1" fillId="25" borderId="0" applyAlignment="1" pivotButton="0" quotePrefix="0" xfId="0">
      <alignment horizontal="left"/>
    </xf>
    <xf numFmtId="166" fontId="0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16" fillId="8" borderId="27" applyAlignment="1" pivotButton="0" quotePrefix="0" xfId="25">
      <alignment horizontal="center"/>
    </xf>
    <xf numFmtId="0" fontId="16" fillId="8" borderId="27" applyAlignment="1" pivotButton="0" quotePrefix="0" xfId="25">
      <alignment horizontal="center" vertical="center"/>
    </xf>
    <xf numFmtId="169" fontId="28" fillId="23" borderId="1" applyAlignment="1" pivotButton="0" quotePrefix="0" xfId="23">
      <alignment horizontal="center"/>
    </xf>
    <xf numFmtId="169" fontId="26" fillId="7" borderId="1" applyAlignment="1" pivotButton="0" quotePrefix="0" xfId="23">
      <alignment horizontal="center"/>
    </xf>
    <xf numFmtId="164" fontId="9" fillId="2" borderId="4" applyAlignment="1" pivotButton="0" quotePrefix="0" xfId="3">
      <alignment horizontal="right"/>
    </xf>
    <xf numFmtId="0" fontId="0" fillId="0" borderId="3" pivotButton="0" quotePrefix="0" xfId="0"/>
    <xf numFmtId="0" fontId="0" fillId="0" borderId="0" pivotButton="0" quotePrefix="0" xfId="0"/>
    <xf numFmtId="0" fontId="33" fillId="0" borderId="0" pivotButton="0" quotePrefix="0" xfId="0"/>
    <xf numFmtId="0" fontId="0" fillId="0" borderId="55" pivotButton="0" quotePrefix="0" xfId="0"/>
    <xf numFmtId="0" fontId="8" fillId="26" borderId="1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53" pivotButton="0" quotePrefix="0" xfId="0"/>
    <xf numFmtId="0" fontId="0" fillId="0" borderId="57" pivotButton="0" quotePrefix="0" xfId="0"/>
    <xf numFmtId="0" fontId="0" fillId="0" borderId="58" pivotButton="0" quotePrefix="0" xfId="0"/>
    <xf numFmtId="0" fontId="8" fillId="0" borderId="86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24" pivotButton="0" quotePrefix="0" xfId="0"/>
    <xf numFmtId="0" fontId="0" fillId="0" borderId="71" pivotButton="0" quotePrefix="0" xfId="0"/>
    <xf numFmtId="169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30" borderId="0" pivotButton="0" quotePrefix="0" xfId="0"/>
    <xf numFmtId="169" fontId="0" fillId="0" borderId="0" pivotButton="0" quotePrefix="0" xfId="3"/>
    <xf numFmtId="0" fontId="37" fillId="31" borderId="0" pivotButton="0" quotePrefix="0" xfId="0"/>
    <xf numFmtId="0" fontId="11" fillId="28" borderId="0" pivotButton="0" quotePrefix="0" xfId="0"/>
    <xf numFmtId="0" fontId="37" fillId="29" borderId="0" pivotButton="0" quotePrefix="0" xfId="0"/>
    <xf numFmtId="0" fontId="6" fillId="0" borderId="0" pivotButton="0" quotePrefix="0" xfId="0"/>
    <xf numFmtId="0" fontId="1" fillId="0" borderId="0" pivotButton="0" quotePrefix="0" xfId="25"/>
    <xf numFmtId="0" fontId="0" fillId="0" borderId="22" pivotButton="0" quotePrefix="0" xfId="0"/>
    <xf numFmtId="0" fontId="1" fillId="0" borderId="0" applyAlignment="1" pivotButton="0" quotePrefix="0" xfId="25">
      <alignment horizontal="center"/>
    </xf>
    <xf numFmtId="0" fontId="1" fillId="0" borderId="1" pivotButton="0" quotePrefix="0" xfId="25"/>
    <xf numFmtId="170" fontId="1" fillId="0" borderId="1" pivotButton="0" quotePrefix="0" xfId="25"/>
    <xf numFmtId="171" fontId="1" fillId="0" borderId="1" applyAlignment="1" pivotButton="0" quotePrefix="0" xfId="25">
      <alignment horizontal="center"/>
    </xf>
    <xf numFmtId="171" fontId="1" fillId="0" borderId="0" applyAlignment="1" pivotButton="0" quotePrefix="0" xfId="25">
      <alignment horizontal="center"/>
    </xf>
    <xf numFmtId="0" fontId="1" fillId="0" borderId="0" pivotButton="0" quotePrefix="0" xfId="23"/>
    <xf numFmtId="0" fontId="1" fillId="0" borderId="1" pivotButton="0" quotePrefix="0" xfId="23"/>
    <xf numFmtId="169" fontId="1" fillId="0" borderId="1" applyAlignment="1" pivotButton="0" quotePrefix="0" xfId="23">
      <alignment horizontal="center"/>
    </xf>
    <xf numFmtId="0" fontId="1" fillId="12" borderId="1" pivotButton="0" quotePrefix="0" xfId="23"/>
    <xf numFmtId="169" fontId="1" fillId="12" borderId="1" applyAlignment="1" pivotButton="0" quotePrefix="0" xfId="23">
      <alignment horizontal="center"/>
    </xf>
    <xf numFmtId="14" fontId="1" fillId="0" borderId="1" applyAlignment="1" pivotButton="0" quotePrefix="0" xfId="19">
      <alignment wrapText="1"/>
    </xf>
    <xf numFmtId="0" fontId="1" fillId="11" borderId="1" applyAlignment="1" pivotButton="0" quotePrefix="0" xfId="19">
      <alignment wrapText="1"/>
    </xf>
    <xf numFmtId="168" fontId="1" fillId="0" borderId="1" pivotButton="0" quotePrefix="0" xfId="19"/>
    <xf numFmtId="0" fontId="1" fillId="0" borderId="1" applyAlignment="1" pivotButton="0" quotePrefix="1" xfId="19">
      <alignment wrapText="1"/>
    </xf>
    <xf numFmtId="0" fontId="1" fillId="0" borderId="1" applyAlignment="1" pivotButton="0" quotePrefix="0" xfId="20">
      <alignment wrapText="1"/>
    </xf>
    <xf numFmtId="168" fontId="1" fillId="0" borderId="1" pivotButton="0" quotePrefix="0" xfId="20"/>
    <xf numFmtId="0" fontId="1" fillId="0" borderId="0" applyAlignment="1" pivotButton="0" quotePrefix="0" xfId="19">
      <alignment wrapText="1"/>
    </xf>
    <xf numFmtId="0" fontId="0" fillId="0" borderId="16" pivotButton="0" quotePrefix="0" xfId="0"/>
    <xf numFmtId="0" fontId="0" fillId="0" borderId="17" pivotButton="0" quotePrefix="0" xfId="0"/>
    <xf numFmtId="164" fontId="0" fillId="0" borderId="1" pivotButton="0" quotePrefix="0" xfId="0"/>
    <xf numFmtId="164" fontId="0" fillId="0" borderId="53" pivotButton="0" quotePrefix="0" xfId="0"/>
    <xf numFmtId="164" fontId="8" fillId="0" borderId="56" pivotButton="0" quotePrefix="0" xfId="0"/>
    <xf numFmtId="164" fontId="8" fillId="0" borderId="25" pivotButton="0" quotePrefix="0" xfId="0"/>
    <xf numFmtId="164" fontId="0" fillId="0" borderId="52" pivotButton="0" quotePrefix="0" xfId="0"/>
    <xf numFmtId="169" fontId="0" fillId="0" borderId="53" pivotButton="0" quotePrefix="0" xfId="0"/>
    <xf numFmtId="169" fontId="0" fillId="0" borderId="0" pivotButton="0" quotePrefix="0" xfId="0"/>
    <xf numFmtId="169" fontId="8" fillId="19" borderId="38" applyAlignment="1" pivotButton="0" quotePrefix="0" xfId="0">
      <alignment horizontal="center"/>
    </xf>
    <xf numFmtId="169" fontId="8" fillId="18" borderId="6" applyAlignment="1" pivotButton="0" quotePrefix="0" xfId="0">
      <alignment horizontal="center"/>
    </xf>
    <xf numFmtId="169" fontId="8" fillId="21" borderId="38" applyAlignment="1" pivotButton="0" quotePrefix="0" xfId="0">
      <alignment horizontal="center"/>
    </xf>
    <xf numFmtId="170" fontId="0" fillId="17" borderId="35" applyAlignment="1" pivotButton="0" quotePrefix="0" xfId="0">
      <alignment horizontal="center"/>
    </xf>
    <xf numFmtId="169" fontId="0" fillId="7" borderId="31" applyAlignment="1" pivotButton="0" quotePrefix="0" xfId="0">
      <alignment horizontal="center"/>
    </xf>
    <xf numFmtId="169" fontId="0" fillId="19" borderId="31" applyAlignment="1" pivotButton="0" quotePrefix="0" xfId="0">
      <alignment horizontal="center"/>
    </xf>
    <xf numFmtId="169" fontId="0" fillId="21" borderId="31" applyAlignment="1" pivotButton="0" quotePrefix="0" xfId="0">
      <alignment horizontal="center"/>
    </xf>
    <xf numFmtId="170" fontId="0" fillId="18" borderId="35" applyAlignment="1" pivotButton="0" quotePrefix="0" xfId="0">
      <alignment horizontal="center"/>
    </xf>
    <xf numFmtId="169" fontId="0" fillId="16" borderId="31" applyAlignment="1" pivotButton="0" quotePrefix="0" xfId="0">
      <alignment horizontal="center" vertical="center"/>
    </xf>
    <xf numFmtId="169" fontId="0" fillId="20" borderId="31" applyAlignment="1" pivotButton="0" quotePrefix="0" xfId="0">
      <alignment horizontal="center"/>
    </xf>
    <xf numFmtId="169" fontId="8" fillId="21" borderId="31" applyAlignment="1" pivotButton="0" quotePrefix="0" xfId="0">
      <alignment horizontal="center"/>
    </xf>
    <xf numFmtId="169" fontId="8" fillId="0" borderId="0" pivotButton="0" quotePrefix="0" xfId="0"/>
    <xf numFmtId="169" fontId="21" fillId="0" borderId="10" pivotButton="0" quotePrefix="0" xfId="0"/>
    <xf numFmtId="169" fontId="8" fillId="0" borderId="35" applyAlignment="1" pivotButton="0" quotePrefix="0" xfId="0">
      <alignment horizontal="center"/>
    </xf>
    <xf numFmtId="169" fontId="8" fillId="8" borderId="39" applyAlignment="1" pivotButton="0" quotePrefix="0" xfId="0">
      <alignment horizontal="center"/>
    </xf>
    <xf numFmtId="169" fontId="0" fillId="17" borderId="35" applyAlignment="1" pivotButton="0" quotePrefix="0" xfId="0">
      <alignment horizontal="center"/>
    </xf>
    <xf numFmtId="169" fontId="0" fillId="18" borderId="1" applyAlignment="1" pivotButton="0" quotePrefix="0" xfId="0">
      <alignment horizontal="center"/>
    </xf>
    <xf numFmtId="169" fontId="0" fillId="16" borderId="1" applyAlignment="1" pivotButton="0" quotePrefix="0" xfId="0">
      <alignment horizontal="center"/>
    </xf>
    <xf numFmtId="169" fontId="0" fillId="20" borderId="1" applyAlignment="1" pivotButton="0" quotePrefix="0" xfId="0">
      <alignment horizontal="center" vertical="center"/>
    </xf>
    <xf numFmtId="169" fontId="0" fillId="20" borderId="1" applyAlignment="1" pivotButton="0" quotePrefix="0" xfId="0">
      <alignment horizontal="center"/>
    </xf>
    <xf numFmtId="169" fontId="0" fillId="18" borderId="35" applyAlignment="1" pivotButton="0" quotePrefix="0" xfId="0">
      <alignment horizontal="center"/>
    </xf>
    <xf numFmtId="169" fontId="0" fillId="16" borderId="30" applyAlignment="1" pivotButton="0" quotePrefix="0" xfId="0">
      <alignment horizontal="center"/>
    </xf>
    <xf numFmtId="169" fontId="0" fillId="20" borderId="31" applyAlignment="1" pivotButton="0" quotePrefix="0" xfId="0">
      <alignment horizontal="center" vertical="center"/>
    </xf>
    <xf numFmtId="169" fontId="8" fillId="7" borderId="31" applyAlignment="1" pivotButton="0" quotePrefix="0" xfId="0">
      <alignment horizontal="center"/>
    </xf>
    <xf numFmtId="169" fontId="8" fillId="19" borderId="31" applyAlignment="1" pivotButton="0" quotePrefix="0" xfId="0">
      <alignment horizontal="center"/>
    </xf>
    <xf numFmtId="169" fontId="8" fillId="18" borderId="1" applyAlignment="1" pivotButton="0" quotePrefix="0" xfId="0">
      <alignment horizontal="center"/>
    </xf>
    <xf numFmtId="169" fontId="8" fillId="16" borderId="1" applyAlignment="1" pivotButton="0" quotePrefix="0" xfId="0">
      <alignment horizontal="center"/>
    </xf>
    <xf numFmtId="169" fontId="8" fillId="20" borderId="1" applyAlignment="1" pivotButton="0" quotePrefix="0" xfId="0">
      <alignment horizontal="center" vertical="center"/>
    </xf>
    <xf numFmtId="169" fontId="8" fillId="20" borderId="1" applyAlignment="1" pivotButton="0" quotePrefix="0" xfId="0">
      <alignment horizontal="center"/>
    </xf>
    <xf numFmtId="169" fontId="8" fillId="12" borderId="23" pivotButton="0" quotePrefix="0" xfId="0"/>
    <xf numFmtId="169" fontId="8" fillId="12" borderId="48" pivotButton="0" quotePrefix="0" xfId="0"/>
    <xf numFmtId="169" fontId="8" fillId="12" borderId="61" pivotButton="0" quotePrefix="0" xfId="0"/>
    <xf numFmtId="169" fontId="0" fillId="0" borderId="23" pivotButton="0" quotePrefix="0" xfId="0"/>
    <xf numFmtId="170" fontId="0" fillId="0" borderId="0" applyAlignment="1" pivotButton="0" quotePrefix="0" xfId="0">
      <alignment horizontal="center" vertical="center"/>
    </xf>
    <xf numFmtId="169" fontId="22" fillId="0" borderId="0" pivotButton="0" quotePrefix="0" xfId="29"/>
    <xf numFmtId="169" fontId="8" fillId="0" borderId="0" applyAlignment="1" pivotButton="0" quotePrefix="0" xfId="28">
      <alignment horizontal="center" vertical="center"/>
    </xf>
    <xf numFmtId="169" fontId="8" fillId="4" borderId="36" pivotButton="0" quotePrefix="0" xfId="0"/>
    <xf numFmtId="169" fontId="8" fillId="4" borderId="84" pivotButton="0" quotePrefix="0" xfId="0"/>
    <xf numFmtId="169" fontId="8" fillId="0" borderId="42" applyAlignment="1" pivotButton="0" quotePrefix="0" xfId="0">
      <alignment horizontal="center"/>
    </xf>
    <xf numFmtId="169" fontId="0" fillId="0" borderId="33" pivotButton="0" quotePrefix="0" xfId="0"/>
    <xf numFmtId="169" fontId="0" fillId="0" borderId="34" pivotButton="0" quotePrefix="0" xfId="0"/>
    <xf numFmtId="169" fontId="0" fillId="0" borderId="5" pivotButton="0" quotePrefix="0" xfId="0"/>
    <xf numFmtId="169" fontId="0" fillId="0" borderId="0" pivotButton="0" quotePrefix="0" xfId="28"/>
    <xf numFmtId="169" fontId="8" fillId="0" borderId="44" pivotButton="0" quotePrefix="0" xfId="0"/>
    <xf numFmtId="169" fontId="8" fillId="0" borderId="37" pivotButton="0" quotePrefix="0" xfId="0"/>
    <xf numFmtId="169" fontId="8" fillId="0" borderId="82" pivotButton="0" quotePrefix="0" xfId="0"/>
    <xf numFmtId="169" fontId="0" fillId="0" borderId="44" applyAlignment="1" pivotButton="0" quotePrefix="0" xfId="0">
      <alignment horizontal="center" vertical="center"/>
    </xf>
    <xf numFmtId="169" fontId="0" fillId="0" borderId="23" applyAlignment="1" pivotButton="0" quotePrefix="0" xfId="0">
      <alignment horizontal="center" vertical="center"/>
    </xf>
    <xf numFmtId="169" fontId="8" fillId="21" borderId="62" applyAlignment="1" pivotButton="0" quotePrefix="0" xfId="0">
      <alignment horizontal="center"/>
    </xf>
    <xf numFmtId="169" fontId="8" fillId="21" borderId="37" applyAlignment="1" pivotButton="0" quotePrefix="0" xfId="0">
      <alignment horizontal="center"/>
    </xf>
    <xf numFmtId="169" fontId="21" fillId="0" borderId="0" pivotButton="0" quotePrefix="0" xfId="0"/>
    <xf numFmtId="169" fontId="8" fillId="8" borderId="63" applyAlignment="1" pivotButton="0" quotePrefix="0" xfId="0">
      <alignment horizontal="center"/>
    </xf>
    <xf numFmtId="169" fontId="0" fillId="17" borderId="6" applyAlignment="1" pivotButton="0" quotePrefix="0" xfId="0">
      <alignment horizontal="center"/>
    </xf>
    <xf numFmtId="169" fontId="0" fillId="7" borderId="38" applyAlignment="1" pivotButton="0" quotePrefix="0" xfId="0">
      <alignment horizontal="center"/>
    </xf>
    <xf numFmtId="169" fontId="0" fillId="19" borderId="38" applyAlignment="1" pivotButton="0" quotePrefix="0" xfId="0">
      <alignment horizontal="center"/>
    </xf>
    <xf numFmtId="169" fontId="0" fillId="21" borderId="37" applyAlignment="1" pivotButton="0" quotePrefix="0" xfId="0">
      <alignment horizontal="center"/>
    </xf>
    <xf numFmtId="169" fontId="0" fillId="17" borderId="64" applyAlignment="1" pivotButton="0" quotePrefix="0" xfId="0">
      <alignment horizontal="center"/>
    </xf>
    <xf numFmtId="169" fontId="8" fillId="7" borderId="65" applyAlignment="1" pivotButton="0" quotePrefix="0" xfId="0">
      <alignment horizontal="center"/>
    </xf>
    <xf numFmtId="169" fontId="8" fillId="19" borderId="65" applyAlignment="1" pivotButton="0" quotePrefix="0" xfId="0">
      <alignment horizontal="center"/>
    </xf>
    <xf numFmtId="169" fontId="8" fillId="21" borderId="65" applyAlignment="1" pivotButton="0" quotePrefix="0" xfId="0">
      <alignment horizontal="center"/>
    </xf>
    <xf numFmtId="169" fontId="8" fillId="18" borderId="66" applyAlignment="1" pivotButton="0" quotePrefix="0" xfId="0">
      <alignment horizontal="center"/>
    </xf>
    <xf numFmtId="169" fontId="8" fillId="16" borderId="66" applyAlignment="1" pivotButton="0" quotePrefix="0" xfId="0">
      <alignment horizontal="center"/>
    </xf>
    <xf numFmtId="169" fontId="8" fillId="20" borderId="66" applyAlignment="1" pivotButton="0" quotePrefix="0" xfId="0">
      <alignment horizontal="center" vertical="center"/>
    </xf>
    <xf numFmtId="169" fontId="8" fillId="20" borderId="66" applyAlignment="1" pivotButton="0" quotePrefix="0" xfId="0">
      <alignment horizontal="center"/>
    </xf>
    <xf numFmtId="169" fontId="8" fillId="21" borderId="67" applyAlignment="1" pivotButton="0" quotePrefix="0" xfId="0">
      <alignment horizontal="center"/>
    </xf>
    <xf numFmtId="169" fontId="8" fillId="12" borderId="15" pivotButton="0" quotePrefix="0" xfId="0"/>
    <xf numFmtId="169" fontId="8" fillId="12" borderId="50" pivotButton="0" quotePrefix="0" xfId="0"/>
    <xf numFmtId="170" fontId="0" fillId="0" borderId="75" applyAlignment="1" pivotButton="0" quotePrefix="0" xfId="0">
      <alignment horizontal="center" vertical="center"/>
    </xf>
    <xf numFmtId="170" fontId="0" fillId="0" borderId="76" applyAlignment="1" pivotButton="0" quotePrefix="0" xfId="0">
      <alignment horizontal="center" vertical="center"/>
    </xf>
    <xf numFmtId="169" fontId="22" fillId="0" borderId="0" pivotButton="0" quotePrefix="0" xfId="22"/>
    <xf numFmtId="170" fontId="0" fillId="0" borderId="78" applyAlignment="1" pivotButton="0" quotePrefix="0" xfId="0">
      <alignment horizontal="center" vertical="center"/>
    </xf>
    <xf numFmtId="169" fontId="8" fillId="0" borderId="80" applyAlignment="1" pivotButton="0" quotePrefix="0" xfId="3">
      <alignment horizontal="center" vertical="center"/>
    </xf>
    <xf numFmtId="169" fontId="8" fillId="0" borderId="81" applyAlignment="1" pivotButton="0" quotePrefix="0" xfId="3">
      <alignment horizontal="center" vertical="center"/>
    </xf>
    <xf numFmtId="169" fontId="8" fillId="4" borderId="46" pivotButton="0" quotePrefix="0" xfId="0"/>
    <xf numFmtId="169" fontId="0" fillId="0" borderId="10" pivotButton="0" quotePrefix="0" xfId="0"/>
    <xf numFmtId="169" fontId="0" fillId="0" borderId="72" applyAlignment="1" pivotButton="0" quotePrefix="0" xfId="0">
      <alignment horizontal="center" vertical="center"/>
    </xf>
    <xf numFmtId="169" fontId="0" fillId="0" borderId="67" pivotButton="0" quotePrefix="0" xfId="0"/>
    <xf numFmtId="169" fontId="0" fillId="0" borderId="73" pivotButton="0" quotePrefix="0" xfId="0"/>
    <xf numFmtId="169" fontId="0" fillId="0" borderId="13" pivotButton="0" quotePrefix="0" xfId="0"/>
    <xf numFmtId="169" fontId="0" fillId="0" borderId="15" pivotButton="0" quotePrefix="0" xfId="0"/>
    <xf numFmtId="169" fontId="0" fillId="0" borderId="10" applyAlignment="1" pivotButton="0" quotePrefix="0" xfId="0">
      <alignment horizontal="center" vertical="center"/>
    </xf>
    <xf numFmtId="174" fontId="0" fillId="0" borderId="0" pivotButton="0" quotePrefix="0" xfId="0"/>
    <xf numFmtId="173" fontId="0" fillId="17" borderId="35" applyAlignment="1" pivotButton="0" quotePrefix="0" xfId="0">
      <alignment horizontal="center"/>
    </xf>
    <xf numFmtId="173" fontId="0" fillId="7" borderId="31" applyAlignment="1" pivotButton="0" quotePrefix="0" xfId="0">
      <alignment horizontal="center"/>
    </xf>
    <xf numFmtId="173" fontId="0" fillId="19" borderId="31" applyAlignment="1" pivotButton="0" quotePrefix="0" xfId="0">
      <alignment horizontal="center"/>
    </xf>
    <xf numFmtId="173" fontId="0" fillId="21" borderId="31" applyAlignment="1" pivotButton="0" quotePrefix="0" xfId="0">
      <alignment horizontal="center"/>
    </xf>
    <xf numFmtId="173" fontId="0" fillId="18" borderId="35" applyAlignment="1" pivotButton="0" quotePrefix="0" xfId="0">
      <alignment horizontal="center"/>
    </xf>
    <xf numFmtId="173" fontId="0" fillId="16" borderId="31" applyAlignment="1" pivotButton="0" quotePrefix="0" xfId="0">
      <alignment horizontal="center" vertical="center"/>
    </xf>
    <xf numFmtId="173" fontId="0" fillId="20" borderId="31" applyAlignment="1" pivotButton="0" quotePrefix="0" xfId="0">
      <alignment horizontal="center"/>
    </xf>
    <xf numFmtId="173" fontId="8" fillId="21" borderId="37" applyAlignment="1" pivotButton="0" quotePrefix="0" xfId="0">
      <alignment horizontal="center"/>
    </xf>
    <xf numFmtId="173" fontId="8" fillId="0" borderId="35" applyAlignment="1" pivotButton="0" quotePrefix="0" xfId="0">
      <alignment horizontal="center"/>
    </xf>
    <xf numFmtId="173" fontId="8" fillId="21" borderId="31" applyAlignment="1" pivotButton="0" quotePrefix="0" xfId="0">
      <alignment horizontal="center"/>
    </xf>
    <xf numFmtId="173" fontId="0" fillId="17" borderId="6" applyAlignment="1" pivotButton="0" quotePrefix="0" xfId="0">
      <alignment horizontal="center"/>
    </xf>
    <xf numFmtId="173" fontId="0" fillId="7" borderId="38" applyAlignment="1" pivotButton="0" quotePrefix="0" xfId="0">
      <alignment horizontal="center"/>
    </xf>
    <xf numFmtId="173" fontId="0" fillId="19" borderId="38" applyAlignment="1" pivotButton="0" quotePrefix="0" xfId="0">
      <alignment horizontal="center"/>
    </xf>
    <xf numFmtId="173" fontId="0" fillId="18" borderId="1" applyAlignment="1" pivotButton="0" quotePrefix="0" xfId="0">
      <alignment horizontal="center"/>
    </xf>
    <xf numFmtId="173" fontId="0" fillId="16" borderId="1" applyAlignment="1" pivotButton="0" quotePrefix="0" xfId="0">
      <alignment horizontal="center"/>
    </xf>
    <xf numFmtId="173" fontId="0" fillId="20" borderId="1" applyAlignment="1" pivotButton="0" quotePrefix="0" xfId="0">
      <alignment horizontal="center" vertical="center"/>
    </xf>
    <xf numFmtId="173" fontId="0" fillId="20" borderId="1" applyAlignment="1" pivotButton="0" quotePrefix="0" xfId="0">
      <alignment horizontal="center"/>
    </xf>
    <xf numFmtId="173" fontId="0" fillId="21" borderId="37" applyAlignment="1" pivotButton="0" quotePrefix="0" xfId="0">
      <alignment horizontal="center"/>
    </xf>
    <xf numFmtId="173" fontId="0" fillId="16" borderId="30" applyAlignment="1" pivotButton="0" quotePrefix="0" xfId="0">
      <alignment horizontal="center"/>
    </xf>
    <xf numFmtId="173" fontId="0" fillId="20" borderId="31" applyAlignment="1" pivotButton="0" quotePrefix="0" xfId="0">
      <alignment horizontal="center" vertical="center"/>
    </xf>
    <xf numFmtId="173" fontId="0" fillId="17" borderId="64" applyAlignment="1" pivotButton="0" quotePrefix="0" xfId="0">
      <alignment horizontal="center"/>
    </xf>
    <xf numFmtId="173" fontId="8" fillId="7" borderId="65" applyAlignment="1" pivotButton="0" quotePrefix="0" xfId="0">
      <alignment horizontal="center"/>
    </xf>
    <xf numFmtId="173" fontId="8" fillId="19" borderId="65" applyAlignment="1" pivotButton="0" quotePrefix="0" xfId="0">
      <alignment horizontal="center"/>
    </xf>
    <xf numFmtId="173" fontId="8" fillId="21" borderId="65" applyAlignment="1" pivotButton="0" quotePrefix="0" xfId="0">
      <alignment horizontal="center"/>
    </xf>
    <xf numFmtId="173" fontId="8" fillId="18" borderId="66" applyAlignment="1" pivotButton="0" quotePrefix="0" xfId="0">
      <alignment horizontal="center"/>
    </xf>
    <xf numFmtId="173" fontId="8" fillId="16" borderId="66" applyAlignment="1" pivotButton="0" quotePrefix="0" xfId="0">
      <alignment horizontal="center"/>
    </xf>
    <xf numFmtId="173" fontId="8" fillId="20" borderId="66" applyAlignment="1" pivotButton="0" quotePrefix="0" xfId="0">
      <alignment horizontal="center" vertical="center"/>
    </xf>
    <xf numFmtId="173" fontId="8" fillId="20" borderId="66" applyAlignment="1" pivotButton="0" quotePrefix="0" xfId="0">
      <alignment horizontal="center"/>
    </xf>
    <xf numFmtId="173" fontId="8" fillId="21" borderId="67" applyAlignment="1" pivotButton="0" quotePrefix="0" xfId="0">
      <alignment horizontal="center"/>
    </xf>
    <xf numFmtId="173" fontId="8" fillId="12" borderId="15" pivotButton="0" quotePrefix="0" xfId="0"/>
    <xf numFmtId="173" fontId="8" fillId="12" borderId="50" pivotButton="0" quotePrefix="0" xfId="0"/>
    <xf numFmtId="173" fontId="8" fillId="12" borderId="48" pivotButton="0" quotePrefix="0" xfId="0"/>
    <xf numFmtId="169" fontId="8" fillId="12" borderId="51" pivotButton="0" quotePrefix="0" xfId="0"/>
    <xf numFmtId="173" fontId="0" fillId="0" borderId="0" pivotButton="0" quotePrefix="0" xfId="0"/>
    <xf numFmtId="173" fontId="0" fillId="0" borderId="10" applyAlignment="1" pivotButton="0" quotePrefix="0" xfId="0">
      <alignment horizontal="center" vertical="center"/>
    </xf>
    <xf numFmtId="173" fontId="8" fillId="0" borderId="15" applyAlignment="1" pivotButton="0" quotePrefix="0" xfId="3">
      <alignment horizontal="center" vertical="center"/>
    </xf>
    <xf numFmtId="173" fontId="8" fillId="4" borderId="46" pivotButton="0" quotePrefix="0" xfId="0"/>
    <xf numFmtId="173" fontId="0" fillId="0" borderId="33" pivotButton="0" quotePrefix="0" xfId="0"/>
    <xf numFmtId="173" fontId="0" fillId="0" borderId="34" pivotButton="0" quotePrefix="0" xfId="0"/>
    <xf numFmtId="173" fontId="8" fillId="0" borderId="44" pivotButton="0" quotePrefix="0" xfId="0"/>
    <xf numFmtId="173" fontId="8" fillId="0" borderId="37" pivotButton="0" quotePrefix="0" xfId="0"/>
    <xf numFmtId="173" fontId="0" fillId="0" borderId="5" pivotButton="0" quotePrefix="0" xfId="0"/>
    <xf numFmtId="173" fontId="0" fillId="0" borderId="44" applyAlignment="1" pivotButton="0" quotePrefix="0" xfId="0">
      <alignment horizontal="center" vertical="center"/>
    </xf>
    <xf numFmtId="172" fontId="0" fillId="0" borderId="72" applyAlignment="1" pivotButton="0" quotePrefix="0" xfId="0">
      <alignment horizontal="center" vertical="center"/>
    </xf>
    <xf numFmtId="172" fontId="0" fillId="0" borderId="67" pivotButton="0" quotePrefix="0" xfId="0"/>
    <xf numFmtId="172" fontId="0" fillId="0" borderId="73" pivotButton="0" quotePrefix="0" xfId="0"/>
    <xf numFmtId="172" fontId="0" fillId="0" borderId="13" pivotButton="0" quotePrefix="0" xfId="0"/>
    <xf numFmtId="172" fontId="0" fillId="0" borderId="0" applyAlignment="1" pivotButton="0" quotePrefix="0" xfId="0">
      <alignment horizontal="center" vertical="center"/>
    </xf>
    <xf numFmtId="172" fontId="0" fillId="0" borderId="12" pivotButton="0" quotePrefix="0" xfId="0"/>
    <xf numFmtId="173" fontId="0" fillId="0" borderId="15" pivotButton="0" quotePrefix="0" xfId="0"/>
    <xf numFmtId="172" fontId="0" fillId="0" borderId="0" pivotButton="0" quotePrefix="0" xfId="0"/>
    <xf numFmtId="172" fontId="0" fillId="0" borderId="1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69" fontId="0" fillId="0" borderId="0" pivotButton="0" quotePrefix="0" xfId="3"/>
    <xf numFmtId="169" fontId="8" fillId="0" borderId="0" applyAlignment="1" pivotButton="0" quotePrefix="0" xfId="0">
      <alignment horizontal="center"/>
    </xf>
    <xf numFmtId="169" fontId="0" fillId="0" borderId="60" pivotButton="0" quotePrefix="0" xfId="0"/>
    <xf numFmtId="169" fontId="8" fillId="0" borderId="0" applyAlignment="1" pivotButton="0" quotePrefix="0" xfId="27">
      <alignment horizontal="center"/>
    </xf>
    <xf numFmtId="169" fontId="6" fillId="0" borderId="60" pivotButton="0" quotePrefix="0" xfId="1"/>
    <xf numFmtId="169" fontId="6" fillId="0" borderId="60" pivotButton="0" quotePrefix="0" xfId="3"/>
    <xf numFmtId="169" fontId="0" fillId="0" borderId="0" applyAlignment="1" pivotButton="0" quotePrefix="0" xfId="3">
      <alignment horizontal="center"/>
    </xf>
    <xf numFmtId="169" fontId="0" fillId="0" borderId="0" applyAlignment="1" pivotButton="0" quotePrefix="0" xfId="0">
      <alignment horizontal="center"/>
    </xf>
    <xf numFmtId="169" fontId="20" fillId="0" borderId="0" applyAlignment="1" pivotButton="0" quotePrefix="0" xfId="3">
      <alignment horizontal="center"/>
    </xf>
    <xf numFmtId="169" fontId="20" fillId="0" borderId="0" applyAlignment="1" pivotButton="0" quotePrefix="0" xfId="0">
      <alignment horizontal="center"/>
    </xf>
    <xf numFmtId="169" fontId="13" fillId="0" borderId="60" applyAlignment="1" pivotButton="0" quotePrefix="0" xfId="3">
      <alignment horizontal="center"/>
    </xf>
    <xf numFmtId="169" fontId="0" fillId="0" borderId="60" pivotButton="0" quotePrefix="0" xfId="3"/>
    <xf numFmtId="169" fontId="13" fillId="0" borderId="60" applyAlignment="1" pivotButton="0" quotePrefix="0" xfId="0">
      <alignment horizontal="center"/>
    </xf>
    <xf numFmtId="169" fontId="6" fillId="0" borderId="0" pivotButton="0" quotePrefix="0" xfId="1"/>
    <xf numFmtId="169" fontId="6" fillId="0" borderId="0" pivotButton="0" quotePrefix="0" xfId="3"/>
    <xf numFmtId="169" fontId="37" fillId="31" borderId="0" pivotButton="0" quotePrefix="0" xfId="0"/>
    <xf numFmtId="169" fontId="37" fillId="29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7" fontId="6" fillId="0" borderId="3" applyAlignment="1" pivotButton="0" quotePrefix="0" xfId="2">
      <alignment horizontal="right"/>
    </xf>
    <xf numFmtId="166" fontId="8" fillId="0" borderId="1" pivotButton="0" quotePrefix="0" xfId="0"/>
    <xf numFmtId="166" fontId="8" fillId="0" borderId="2" pivotButton="0" quotePrefix="0" xfId="0"/>
    <xf numFmtId="167" fontId="8" fillId="0" borderId="3" applyAlignment="1" pivotButton="0" quotePrefix="0" xfId="2">
      <alignment horizontal="right"/>
    </xf>
    <xf numFmtId="166" fontId="0" fillId="0" borderId="13" pivotButton="0" quotePrefix="0" xfId="0"/>
    <xf numFmtId="166" fontId="8" fillId="0" borderId="27" pivotButton="0" quotePrefix="0" xfId="0"/>
    <xf numFmtId="166" fontId="8" fillId="2" borderId="21" pivotButton="0" quotePrefix="0" xfId="1"/>
    <xf numFmtId="167" fontId="8" fillId="0" borderId="22" applyAlignment="1" pivotButton="0" quotePrefix="0" xfId="2">
      <alignment horizontal="right"/>
    </xf>
    <xf numFmtId="166" fontId="8" fillId="2" borderId="28" pivotButton="0" quotePrefix="0" xfId="1"/>
    <xf numFmtId="166" fontId="8" fillId="0" borderId="21" pivotButton="0" quotePrefix="0" xfId="0"/>
    <xf numFmtId="164" fontId="8" fillId="2" borderId="28" pivotButton="0" quotePrefix="0" xfId="1"/>
    <xf numFmtId="166" fontId="0" fillId="0" borderId="0" pivotButton="0" quotePrefix="0" xfId="0"/>
    <xf numFmtId="167" fontId="6" fillId="0" borderId="0" applyAlignment="1" pivotButton="0" quotePrefix="0" xfId="2">
      <alignment horizontal="right"/>
    </xf>
    <xf numFmtId="164" fontId="6" fillId="0" borderId="0" pivotButton="0" quotePrefix="0" xfId="1"/>
    <xf numFmtId="166" fontId="8" fillId="0" borderId="0" pivotButton="0" quotePrefix="0" xfId="0"/>
    <xf numFmtId="167" fontId="8" fillId="0" borderId="0" applyAlignment="1" pivotButton="0" quotePrefix="0" xfId="2">
      <alignment horizontal="right"/>
    </xf>
    <xf numFmtId="166" fontId="0" fillId="0" borderId="52" pivotButton="0" quotePrefix="0" xfId="0"/>
    <xf numFmtId="166" fontId="0" fillId="0" borderId="31" pivotButton="0" quotePrefix="0" xfId="0"/>
    <xf numFmtId="167" fontId="6" fillId="0" borderId="30" applyAlignment="1" pivotButton="0" quotePrefix="0" xfId="2">
      <alignment horizontal="right"/>
    </xf>
    <xf numFmtId="166" fontId="8" fillId="0" borderId="28" pivotButton="0" quotePrefix="0" xfId="0"/>
    <xf numFmtId="166" fontId="0" fillId="0" borderId="0" applyAlignment="1" pivotButton="0" quotePrefix="0" xfId="0">
      <alignment horizontal="center"/>
    </xf>
    <xf numFmtId="167" fontId="0" fillId="0" borderId="0" pivotButton="0" quotePrefix="0" xfId="2"/>
    <xf numFmtId="166" fontId="0" fillId="0" borderId="27" pivotButton="0" quotePrefix="0" xfId="0"/>
    <xf numFmtId="166" fontId="0" fillId="0" borderId="21" pivotButton="0" quotePrefix="0" xfId="0"/>
    <xf numFmtId="167" fontId="6" fillId="0" borderId="22" applyAlignment="1" pivotButton="0" quotePrefix="0" xfId="2">
      <alignment horizontal="right"/>
    </xf>
    <xf numFmtId="166" fontId="0" fillId="0" borderId="28" pivotButton="0" quotePrefix="0" xfId="0"/>
    <xf numFmtId="166" fontId="6" fillId="0" borderId="13" pivotButton="0" quotePrefix="0" xfId="0"/>
    <xf numFmtId="167" fontId="6" fillId="0" borderId="13" pivotButton="0" quotePrefix="0" xfId="2"/>
    <xf numFmtId="166" fontId="6" fillId="0" borderId="15" pivotButton="0" quotePrefix="0" xfId="0"/>
    <xf numFmtId="166" fontId="6" fillId="0" borderId="0" pivotButton="0" quotePrefix="0" xfId="0"/>
    <xf numFmtId="167" fontId="6" fillId="0" borderId="0" pivotButton="0" quotePrefix="0" xfId="2"/>
    <xf numFmtId="170" fontId="25" fillId="0" borderId="1" pivotButton="0" quotePrefix="0" xfId="25"/>
    <xf numFmtId="170" fontId="1" fillId="0" borderId="1" pivotButton="0" quotePrefix="0" xfId="25"/>
    <xf numFmtId="171" fontId="0" fillId="0" borderId="1" applyAlignment="1" pivotButton="0" quotePrefix="0" xfId="26">
      <alignment horizontal="center"/>
    </xf>
    <xf numFmtId="171" fontId="1" fillId="0" borderId="1" applyAlignment="1" pivotButton="0" quotePrefix="0" xfId="25">
      <alignment horizontal="center"/>
    </xf>
    <xf numFmtId="171" fontId="0" fillId="0" borderId="0" applyAlignment="1" pivotButton="0" quotePrefix="0" xfId="26">
      <alignment horizontal="center"/>
    </xf>
    <xf numFmtId="171" fontId="1" fillId="0" borderId="0" applyAlignment="1" pivotButton="0" quotePrefix="0" xfId="25">
      <alignment horizontal="center"/>
    </xf>
    <xf numFmtId="171" fontId="25" fillId="0" borderId="1" applyAlignment="1" pivotButton="0" quotePrefix="0" xfId="26">
      <alignment horizontal="center"/>
    </xf>
    <xf numFmtId="171" fontId="25" fillId="0" borderId="1" applyAlignment="1" pivotButton="0" quotePrefix="0" xfId="25">
      <alignment horizontal="center"/>
    </xf>
    <xf numFmtId="169" fontId="3" fillId="0" borderId="0" applyAlignment="1" pivotButton="0" quotePrefix="0" xfId="23">
      <alignment horizontal="center"/>
    </xf>
    <xf numFmtId="169" fontId="28" fillId="23" borderId="1" applyAlignment="1" pivotButton="0" quotePrefix="0" xfId="23">
      <alignment horizontal="center"/>
    </xf>
    <xf numFmtId="169" fontId="26" fillId="7" borderId="1" applyAlignment="1" pivotButton="0" quotePrefix="0" xfId="23">
      <alignment horizontal="center"/>
    </xf>
    <xf numFmtId="169" fontId="26" fillId="7" borderId="0" applyAlignment="1" pivotButton="0" quotePrefix="0" xfId="23">
      <alignment horizontal="center"/>
    </xf>
    <xf numFmtId="169" fontId="16" fillId="0" borderId="1" applyAlignment="1" pivotButton="0" quotePrefix="0" xfId="23">
      <alignment horizontal="center" wrapText="1"/>
    </xf>
    <xf numFmtId="169" fontId="29" fillId="0" borderId="1" applyAlignment="1" pivotButton="0" quotePrefix="0" xfId="23">
      <alignment horizontal="center" wrapText="1"/>
    </xf>
    <xf numFmtId="169" fontId="1" fillId="0" borderId="1" applyAlignment="1" pivotButton="0" quotePrefix="0" xfId="23">
      <alignment horizontal="center"/>
    </xf>
    <xf numFmtId="169" fontId="30" fillId="0" borderId="1" applyAlignment="1" pivotButton="0" quotePrefix="0" xfId="23">
      <alignment horizontal="center"/>
    </xf>
    <xf numFmtId="169" fontId="23" fillId="0" borderId="1" applyAlignment="1" pivotButton="0" quotePrefix="0" xfId="23">
      <alignment horizontal="center"/>
    </xf>
    <xf numFmtId="169" fontId="31" fillId="0" borderId="1" applyAlignment="1" pivotButton="0" quotePrefix="0" xfId="23">
      <alignment horizontal="center"/>
    </xf>
    <xf numFmtId="169" fontId="1" fillId="12" borderId="1" applyAlignment="1" pivotButton="0" quotePrefix="0" xfId="23">
      <alignment horizontal="center"/>
    </xf>
    <xf numFmtId="169" fontId="30" fillId="12" borderId="1" applyAlignment="1" pivotButton="0" quotePrefix="0" xfId="23">
      <alignment horizontal="center"/>
    </xf>
    <xf numFmtId="170" fontId="0" fillId="0" borderId="0" applyAlignment="1" pivotButton="0" quotePrefix="0" xfId="0">
      <alignment horizontal="center"/>
    </xf>
    <xf numFmtId="164" fontId="8" fillId="0" borderId="0" pivotButton="0" quotePrefix="0" xfId="0"/>
    <xf numFmtId="164" fontId="8" fillId="0" borderId="0" applyAlignment="1" pivotButton="0" quotePrefix="0" xfId="0">
      <alignment horizontal="center"/>
    </xf>
    <xf numFmtId="164" fontId="6" fillId="0" borderId="0" pivotButton="0" quotePrefix="0" xfId="0"/>
    <xf numFmtId="164" fontId="6" fillId="4" borderId="20" pivotButton="0" quotePrefix="0" xfId="3"/>
    <xf numFmtId="165" fontId="9" fillId="2" borderId="4" pivotButton="0" quotePrefix="0" xfId="2"/>
    <xf numFmtId="164" fontId="0" fillId="0" borderId="0" pivotButton="0" quotePrefix="0" xfId="3"/>
    <xf numFmtId="165" fontId="9" fillId="12" borderId="4" pivotButton="0" quotePrefix="0" xfId="2"/>
    <xf numFmtId="164" fontId="0" fillId="8" borderId="0" pivotButton="0" quotePrefix="0" xfId="3"/>
    <xf numFmtId="165" fontId="9" fillId="8" borderId="4" pivotButton="0" quotePrefix="0" xfId="2"/>
    <xf numFmtId="165" fontId="9" fillId="5" borderId="4" pivotButton="0" quotePrefix="0" xfId="2"/>
    <xf numFmtId="168" fontId="4" fillId="0" borderId="0" pivotButton="0" quotePrefix="0" xfId="19"/>
    <xf numFmtId="168" fontId="16" fillId="10" borderId="1" applyAlignment="1" pivotButton="0" quotePrefix="0" xfId="19">
      <alignment horizontal="center" wrapText="1"/>
    </xf>
    <xf numFmtId="168" fontId="1" fillId="0" borderId="1" pivotButton="0" quotePrefix="0" xfId="19"/>
    <xf numFmtId="168" fontId="1" fillId="0" borderId="1" pivotButton="0" quotePrefix="0" xfId="20"/>
    <xf numFmtId="164" fontId="9" fillId="2" borderId="4" applyAlignment="1" pivotButton="0" quotePrefix="0" xfId="3">
      <alignment horizontal="right"/>
    </xf>
  </cellXfs>
  <cellStyles count="30">
    <cellStyle name="Normal" xfId="0" builtinId="0"/>
    <cellStyle name="Input" xfId="1" builtinId="20"/>
    <cellStyle name="Percent" xfId="2" builtinId="5"/>
    <cellStyle name="Currency" xfId="3" builtinId="4"/>
    <cellStyle name="Hyperlink" xfId="4" builtinId="8"/>
    <cellStyle name="Subtotal" xfId="5"/>
    <cellStyle name="Heading" xfId="6"/>
    <cellStyle name="Subtotal 2" xfId="7"/>
    <cellStyle name="Normal 2" xfId="8"/>
    <cellStyle name="Normal 3" xfId="9"/>
    <cellStyle name="Comma 2" xfId="10"/>
    <cellStyle name="Normal 3 2" xfId="11"/>
    <cellStyle name="Normal 3 4" xfId="12"/>
    <cellStyle name="Normal 3 2 3" xfId="13"/>
    <cellStyle name="Normal 3 3" xfId="14"/>
    <cellStyle name="Normal 3 2 2" xfId="15"/>
    <cellStyle name="Normal 2 2" xfId="16"/>
    <cellStyle name="Normal 4" xfId="17"/>
    <cellStyle name="Hyperlink 2" xfId="18"/>
    <cellStyle name="Normal 5" xfId="19"/>
    <cellStyle name="Normal 5 2" xfId="20"/>
    <cellStyle name="Currency 2" xfId="21"/>
    <cellStyle name="Currency 3" xfId="22"/>
    <cellStyle name="Normal 6" xfId="23"/>
    <cellStyle name="Currency 4" xfId="24"/>
    <cellStyle name="Normal 7" xfId="25"/>
    <cellStyle name="Comma 3" xfId="26"/>
    <cellStyle name="20% - Accent3" xfId="27" builtinId="38"/>
    <cellStyle name="Currency 5" xfId="28"/>
    <cellStyle name="Currency 3 2" xfId="29"/>
  </cellStyles>
  <dxfs count="190">
    <dxf>
      <fill>
        <patternFill>
          <bgColor theme="5" tint="0.3999450666829432"/>
        </patternFill>
      </fill>
    </dxf>
    <dxf>
      <alignment horizontal="center" vertical="top"/>
    </dxf>
    <dxf>
      <alignment horizontal="center" vertical="top"/>
    </dxf>
    <dxf>
      <alignment horizontal="center" vertical="top"/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numFmt numFmtId="168" formatCode="&quot;$&quot;#,##0.00"/>
    </dxf>
    <dxf>
      <numFmt numFmtId="171" formatCode="_([$€-2]\ * #,##0.00_);_([$€-2]\ * \(#,##0.00\);_([$€-2]\ * &quot;-&quot;??_);_(@_)"/>
    </dxf>
    <dxf>
      <numFmt numFmtId="170" formatCode="_-[$£-809]* #,##0.00_-;\-[$£-809]* #,##0.00_-;_-[$£-809]* &quot;-&quot;??_-;_-@_-"/>
    </dxf>
    <dxf>
      <numFmt numFmtId="171" formatCode="_([$€-2]\ * #,##0.00_);_([$€-2]\ * \(#,##0.00\);_([$€-2]\ * &quot;-&quot;??_);_(@_)"/>
    </dxf>
    <dxf>
      <numFmt numFmtId="170" formatCode="_-[$£-809]* #,##0.00_-;\-[$£-809]* #,##0.00_-;_-[$£-809]* &quot;-&quot;??_-;_-@_-"/>
    </dxf>
    <dxf>
      <numFmt numFmtId="171" formatCode="_([$€-2]\ * #,##0.00_);_([$€-2]\ * \(#,##0.00\);_([$€-2]\ * &quot;-&quot;??_);_(@_)"/>
    </dxf>
    <dxf>
      <numFmt numFmtId="170" formatCode="_-[$£-809]* #,##0.00_-;\-[$£-809]* #,##0.00_-;_-[$£-809]* &quot;-&quot;??_-;_-@_-"/>
    </dxf>
    <dxf>
      <numFmt numFmtId="171" formatCode="_([$€-2]\ * #,##0.00_);_([$€-2]\ * \(#,##0.00\);_([$€-2]\ * &quot;-&quot;??_);_(@_)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70" formatCode="_-[$£-809]* #,##0.00_-;\-[$£-809]* #,##0.00_-;_-[$£-809]* &quot;-&quot;??_-;_-@_-"/>
      <border>
        <left/>
        <right/>
        <top style="thin">
          <color indexed="64"/>
        </top>
        <bottom/>
      </border>
    </dxf>
    <dxf>
      <numFmt numFmtId="171" formatCode="_([$€-2]\ * #,##0.00_);_([$€-2]\ * \(#,##0.00\);_([$€-2]\ * &quot;-&quot;??_);_(@_)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_-[$£-809]* #,##0.00_-;\-[$£-809]* #,##0.00_-;_-[$£-809]* &quot;-&quot;??_-;_-@_-"/>
      <border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numFmt numFmtId="171" formatCode="_([$€-2]\ * #,##0.00_);_([$€-2]\ * \(#,##0.00\);_([$€-2]\ * &quot;-&quot;??_);_(@_)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_-[$£-809]* #,##0.00_-;\-[$£-809]* #,##0.00_-;_-[$£-809]* &quot;-&quot;??_-;_-@_-"/>
      <alignment horizontal="center" vertical="center"/>
      <border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/>
      </border>
    </dxf>
    <dxf>
      <border>
        <left/>
        <right/>
        <top style="thin">
          <color indexed="64"/>
        </top>
        <bottom/>
        <vertical/>
        <horizontal/>
      </border>
    </dxf>
    <dxf>
      <border>
        <left/>
        <right/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auto="1"/>
        </bottom>
      </border>
    </dxf>
    <dxf>
      <border outline="0">
        <left style="medium">
          <color rgb="FF000000"/>
        </left>
        <top style="thin">
          <color rgb="FF000000"/>
        </top>
        <bottom style="medium">
          <color rgb="FF000000"/>
        </bottom>
      </border>
    </dxf>
    <dxf>
      <numFmt numFmtId="171" formatCode="_([$€-2]\ * #,##0.00_);_([$€-2]\ * \(#,##0.00\);_([$€-2]\ * &quot;-&quot;??_);_(@_)"/>
      <alignment horizontal="center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auto="1"/>
        </bottom>
      </border>
    </dxf>
    <dxf>
      <fill>
        <patternFill>
          <fgColor indexed="64"/>
          <bgColor indexed="65"/>
        </patternFill>
      </fill>
      <alignment horizontal="general" vertical="bottom"/>
    </dxf>
    <dxf>
      <numFmt numFmtId="171" formatCode="_([$€-2]\ * #,##0.00_);_([$€-2]\ * \(#,##0.00\);_([$€-2]\ * &quot;-&quot;??_);_(@_)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8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8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7" tint="0.7999816888943144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7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€-2]\ * #,##0.00_);_([$€-2]\ * \(#,##0.00\);_([$€-2]\ * &quot;-&quot;??_);_(@_)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numFmt numFmtId="171" formatCode="_([$€-2]\ * #,##0.00_);_([$€-2]\ * \(#,##0.00\);_([$€-2]\ * &quot;-&quot;??_);_(@_)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</border>
    </dxf>
    <dxf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/>
      </border>
    </dxf>
    <dxf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>
        <left style="medium">
          <color indexed="64"/>
        </left>
        <right/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/>
        </patternFill>
      </fill>
      <alignment horizontal="center" vertical="bottom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FFC000"/>
        </patternFill>
      </fill>
      <alignment horizontal="center" vertical="bottom"/>
    </dxf>
    <dxf>
      <numFmt numFmtId="168" formatCode="&quot;$&quot;#,##0.00"/>
      <border outline="0">
        <left/>
        <right style="medium">
          <color indexed="64"/>
        </right>
        <top/>
        <bottom style="medium">
          <color indexed="64"/>
        </bottom>
      </border>
    </dxf>
    <dxf>
      <numFmt numFmtId="168" formatCode="&quot;$&quot;#,##0.00"/>
    </dxf>
    <dxf>
      <numFmt numFmtId="168" formatCode="&quot;$&quot;#,##0.00"/>
      <border outline="0">
        <left/>
        <right/>
        <top/>
        <bottom style="medium">
          <color indexed="64"/>
        </bottom>
      </border>
    </dxf>
    <dxf>
      <numFmt numFmtId="168" formatCode="&quot;$&quot;#,##0.00"/>
    </dxf>
    <dxf>
      <numFmt numFmtId="168" formatCode="&quot;$&quot;#,##0.00"/>
      <border outline="0">
        <left/>
        <right/>
        <top/>
        <bottom style="medium">
          <color indexed="64"/>
        </bottom>
      </border>
    </dxf>
    <dxf>
      <border outline="0">
        <left/>
        <right/>
        <top/>
        <bottom style="medium">
          <color indexed="64"/>
        </bottom>
      </border>
    </dxf>
    <dxf>
      <numFmt numFmtId="168" formatCode="&quot;$&quot;#,##0.00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.00"/>
      <border outline="0">
        <left/>
        <right/>
        <top style="thin">
          <color indexed="64"/>
        </top>
        <bottom style="medium">
          <color indexed="64"/>
        </bottom>
      </border>
    </dxf>
    <dxf>
      <numFmt numFmtId="168" formatCode="&quot;$&quot;#,##0.00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.0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.00"/>
      <alignment horizontal="center" vertic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border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auto="1"/>
        </bottom>
      </border>
    </dxf>
    <dxf>
      <border outline="0">
        <left style="medium">
          <color rgb="FF000000"/>
        </left>
        <top style="thin">
          <color rgb="FF000000"/>
        </top>
        <bottom style="medium">
          <color rgb="FF000000"/>
        </bottom>
      </border>
    </dxf>
    <dxf>
      <numFmt numFmtId="12" formatCode="&quot;$&quot;#,##0.00_);[Red]\(&quot;$&quot;#,##0.00\)"/>
      <alignment horizontal="center" vertical="center"/>
      <border>
        <left/>
        <right style="thick">
          <color auto="1"/>
        </right>
        <top/>
        <bottom/>
        <vertical/>
        <horizontal/>
      </border>
    </dxf>
    <dxf>
      <alignment horizontal="center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thick">
          <color auto="1"/>
        </left>
        <right/>
        <top/>
        <bottom/>
        <vertical/>
        <horizontal/>
      </border>
    </dxf>
    <dxf>
      <border outline="0">
        <bottom style="thin">
          <color auto="1"/>
        </bottom>
      </border>
    </dxf>
    <dxf>
      <fill>
        <patternFill>
          <fgColor indexed="64"/>
          <bgColor indexed="65"/>
        </patternFill>
      </fill>
      <alignment horizontal="general" vertical="bottom"/>
    </dxf>
    <dxf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 outline="0"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  <dxf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/>
        </patternFill>
      </fill>
      <alignment horizontal="center" vertical="bottom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FFC000"/>
        </patternFill>
      </fill>
      <alignment horizontal="center" vertical="bottom"/>
    </dxf>
    <dxf>
      <numFmt numFmtId="168" formatCode="&quot;$&quot;#,##0.00"/>
    </dxf>
    <dxf>
      <numFmt numFmtId="168" formatCode="&quot;$&quot;#,##0.00"/>
    </dxf>
    <dxf>
      <numFmt numFmtId="168" formatCode="&quot;$&quot;#,##0.00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.00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.00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auto="1"/>
        </bottom>
      </border>
    </dxf>
    <dxf>
      <border outline="0">
        <left style="medium">
          <color rgb="FF000000"/>
        </left>
        <top style="thin">
          <color rgb="FF000000"/>
        </top>
        <bottom style="medium">
          <color rgb="FF000000"/>
        </bottom>
      </border>
    </dxf>
    <dxf>
      <alignment horizontal="center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auto="1"/>
        </bottom>
      </border>
    </dxf>
    <dxf>
      <fill>
        <patternFill>
          <fgColor indexed="64"/>
          <bgColor indexed="65"/>
        </patternFill>
      </fill>
      <alignment horizontal="general" vertical="bottom"/>
    </dxf>
    <dxf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 outline="0">
        <left style="medium">
          <color indexed="64"/>
        </left>
        <right/>
        <top style="thin">
          <color indexed="64"/>
        </top>
        <bottom/>
      </border>
    </dxf>
    <dxf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/>
      </border>
    </dxf>
    <dxf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/>
        <top style="thin">
          <color indexed="64"/>
        </top>
        <bottom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/>
        </patternFill>
      </fill>
      <alignment horizontal="center" vertical="bottom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8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7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rgb="FF92D050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6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4" tint="0.7999816888943144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&quot;$&quot;#,##0.00"/>
      <fill>
        <patternFill patternType="solid">
          <fgColor indexed="64"/>
          <bgColor theme="2"/>
        </patternFill>
      </fill>
      <alignment horizontal="center" vertical="bottom"/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border>
        <left style="medium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FFC000"/>
        </patternFill>
      </fill>
      <alignment horizontal="center" vertical="bottom"/>
    </dxf>
    <dxf>
      <font>
        <condense val="0"/>
        <color rgb="FF9C6500"/>
        <extend val="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externalLink" Target="/xl/externalLinks/externalLink4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Relationship Type="http://schemas.microsoft.com/office/2006/relationships/vbaProject" Target="vbaProject.bin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wwt.sharepoint.com/personal/sumimotl_wwt_com/Documents/Microsoft%20Teams%20Chat%20Files/Sponsor_and_Stakeholder_Matrix_and_Analysis_Template%20-%20FINAL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wwt.sharepoint.com/Documents%20and%20Settings/bradley.w.pantel/Local%20Settings/Temporary%20Internet%20Files/OLK16/EU%20Sponsor_Critical%20Stakeholder%20Mapping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wwt.sharepoint.com/C:/Users/gettierp/AppData/Local/Temp/Temp1_Stakeholder-Analysis-Template-for-Excel.zip/Stakeholder%20Analysis%20Template%20for%20Excel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Change Curve"/>
      <sheetName val="LOV"/>
      <sheetName val="Matrix and Analysis"/>
      <sheetName val="Engagement Ma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EU"/>
      <sheetName val="LOV"/>
    </sheetNames>
    <sheetDataSet>
      <sheetData sheetId="0"/>
      <sheetData sheetId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Stakeholder_Log"/>
      <sheetName val="DropDown_Elements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Year 1"/>
      <sheetName val="With 10% Increase"/>
    </sheetNames>
    <sheetDataSet>
      <sheetData sheetId="0">
        <row r="4">
          <cell r="C4">
            <v>20808.34</v>
          </cell>
          <cell r="G4">
            <v>8471.25</v>
          </cell>
          <cell r="I4">
            <v>8202.7900000000009</v>
          </cell>
          <cell r="K4">
            <v>2499.9</v>
          </cell>
          <cell r="M4">
            <v>1634.4</v>
          </cell>
        </row>
        <row r="5">
          <cell r="C5">
            <v>20808.34</v>
          </cell>
          <cell r="G5">
            <v>8471.25</v>
          </cell>
          <cell r="I5">
            <v>8202.7900000000009</v>
          </cell>
          <cell r="K5">
            <v>2499.9</v>
          </cell>
          <cell r="M5">
            <v>1634.4</v>
          </cell>
        </row>
        <row r="6">
          <cell r="C6">
            <v>14981.03</v>
          </cell>
          <cell r="G6">
            <v>4332.5</v>
          </cell>
          <cell r="I6">
            <v>7146.93</v>
          </cell>
          <cell r="K6">
            <v>2259.3000000000002</v>
          </cell>
          <cell r="M6">
            <v>1242.3</v>
          </cell>
        </row>
        <row r="11">
          <cell r="C11">
            <v>3072.96</v>
          </cell>
          <cell r="G11">
            <v>813.24</v>
          </cell>
          <cell r="K11">
            <v>499.98</v>
          </cell>
          <cell r="M11">
            <v>326.88</v>
          </cell>
        </row>
        <row r="12">
          <cell r="C12">
            <v>3072.96</v>
          </cell>
          <cell r="G12">
            <v>813.24</v>
          </cell>
          <cell r="K12">
            <v>499.98</v>
          </cell>
          <cell r="M12">
            <v>326.88</v>
          </cell>
        </row>
        <row r="13">
          <cell r="C13">
            <v>2436.2600000000002</v>
          </cell>
          <cell r="G13">
            <v>415.92</v>
          </cell>
          <cell r="K13">
            <v>451.86</v>
          </cell>
          <cell r="M13">
            <v>248.46</v>
          </cell>
        </row>
        <row r="18">
          <cell r="C18">
            <v>598.55999999999995</v>
          </cell>
          <cell r="G18">
            <v>135.54</v>
          </cell>
          <cell r="I18">
            <v>187.4</v>
          </cell>
          <cell r="K18">
            <v>166.66</v>
          </cell>
          <cell r="M18">
            <v>108.96</v>
          </cell>
        </row>
        <row r="19">
          <cell r="C19">
            <v>598.55999999999995</v>
          </cell>
          <cell r="G19">
            <v>135.54</v>
          </cell>
          <cell r="I19">
            <v>187.4</v>
          </cell>
          <cell r="K19">
            <v>166.66</v>
          </cell>
          <cell r="M19">
            <v>108.96</v>
          </cell>
        </row>
        <row r="20">
          <cell r="C20">
            <v>457.92</v>
          </cell>
          <cell r="G20">
            <v>69.319999999999993</v>
          </cell>
          <cell r="I20">
            <v>155.16</v>
          </cell>
          <cell r="K20">
            <v>150.62</v>
          </cell>
          <cell r="M20">
            <v>82.82</v>
          </cell>
        </row>
        <row r="25">
          <cell r="C25">
            <v>409.2</v>
          </cell>
          <cell r="G25">
            <v>67.77</v>
          </cell>
          <cell r="I25">
            <v>65.81</v>
          </cell>
          <cell r="K25">
            <v>166.66</v>
          </cell>
        </row>
        <row r="26">
          <cell r="C26">
            <v>409.2</v>
          </cell>
          <cell r="G26">
            <v>67.77</v>
          </cell>
          <cell r="I26">
            <v>65.81</v>
          </cell>
          <cell r="K26">
            <v>166.66</v>
          </cell>
        </row>
        <row r="27">
          <cell r="C27">
            <v>325.85000000000002</v>
          </cell>
          <cell r="G27">
            <v>34.659999999999997</v>
          </cell>
          <cell r="I27">
            <v>57.75</v>
          </cell>
          <cell r="K27">
            <v>150.62</v>
          </cell>
        </row>
        <row r="32">
          <cell r="C32">
            <v>336.09</v>
          </cell>
          <cell r="G32">
            <v>33.89</v>
          </cell>
          <cell r="I32">
            <v>26.59</v>
          </cell>
          <cell r="K32">
            <v>166.66</v>
          </cell>
          <cell r="M32">
            <v>108.96</v>
          </cell>
        </row>
        <row r="33">
          <cell r="C33">
            <v>336.09</v>
          </cell>
          <cell r="G33">
            <v>33.89</v>
          </cell>
          <cell r="I33">
            <v>26.59</v>
          </cell>
          <cell r="K33">
            <v>166.66</v>
          </cell>
          <cell r="M33">
            <v>108.96</v>
          </cell>
        </row>
        <row r="34">
          <cell r="C34">
            <v>273.33</v>
          </cell>
          <cell r="G34">
            <v>17.329999999999998</v>
          </cell>
          <cell r="I34">
            <v>22.56</v>
          </cell>
          <cell r="K34">
            <v>150.62</v>
          </cell>
          <cell r="M34">
            <v>82.82</v>
          </cell>
        </row>
        <row r="39">
          <cell r="C39">
            <v>552.04</v>
          </cell>
          <cell r="G39">
            <v>101.66</v>
          </cell>
          <cell r="I39">
            <v>174.76</v>
          </cell>
          <cell r="K39">
            <v>166.66</v>
          </cell>
          <cell r="M39">
            <v>108.96</v>
          </cell>
        </row>
        <row r="40">
          <cell r="C40">
            <v>552.04</v>
          </cell>
          <cell r="G40">
            <v>101.66</v>
          </cell>
          <cell r="I40">
            <v>174.76</v>
          </cell>
          <cell r="K40">
            <v>166.66</v>
          </cell>
          <cell r="M40">
            <v>108.96</v>
          </cell>
        </row>
        <row r="41">
          <cell r="C41">
            <v>427.95</v>
          </cell>
          <cell r="G41">
            <v>51.99</v>
          </cell>
          <cell r="I41">
            <v>142.52000000000001</v>
          </cell>
          <cell r="K41">
            <v>150.62</v>
          </cell>
          <cell r="M41">
            <v>82.82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able487" displayName="Table487" ref="A1:K14" headerRowCount="1" totalsRowShown="0" headerRowDxfId="188" tableBorderDxfId="187">
  <autoFilter ref="A1:K14"/>
  <tableColumns count="11">
    <tableColumn id="1" name="SKU" dataDxfId="186"/>
    <tableColumn id="2" name="Column2" dataDxfId="185"/>
    <tableColumn id="3" name="Integration" dataDxfId="184"/>
    <tableColumn id="4" name="Delivery" dataDxfId="183"/>
    <tableColumn id="5" name="title 60 months" dataDxfId="182"/>
    <tableColumn id="6" name="CSOW Totals" dataDxfId="181"/>
    <tableColumn id="7" name="Install" dataDxfId="180"/>
    <tableColumn id="8" name="PMO" dataDxfId="179"/>
    <tableColumn id="9" name="Break/Fix" dataDxfId="178"/>
    <tableColumn id="10" name="Call Center" dataDxfId="177"/>
    <tableColumn id="11" name="CSOW" dataDxfId="176">
      <calculatedColumnFormula>SUM(Table487[[#This Row],[Install]:[Call Center]])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910" displayName="Table2910" ref="A16:K28" headerRowCount="1" totalsRowCount="1" headerRowDxfId="175">
  <autoFilter ref="A16:K27"/>
  <tableColumns count="11">
    <tableColumn id="1" name="Column1" dataDxfId="173" totalsRowDxfId="174"/>
    <tableColumn id="2" name="Column2" dataDxfId="171" totalsRowDxfId="172"/>
    <tableColumn id="3" name="Integration" totalsRowFunction="custom" dataDxfId="169" totalsRowDxfId="170">
      <calculatedColumnFormula>C3/60</calculatedColumnFormula>
      <totalsRowFormula>SUM(Table2910[Integration])</totalsRowFormula>
    </tableColumn>
    <tableColumn id="4" name="Delivery" totalsRowFunction="sum" dataDxfId="167" totalsRowDxfId="168">
      <calculatedColumnFormula>D3/60</calculatedColumnFormula>
    </tableColumn>
    <tableColumn id="5" name="title 60 months" totalsRowFunction="sum" dataDxfId="165" totalsRowDxfId="166">
      <calculatedColumnFormula>E3/60</calculatedColumnFormula>
    </tableColumn>
    <tableColumn id="6" name="CSOW" totalsRowFunction="sum" dataDxfId="163" totalsRowDxfId="164">
      <calculatedColumnFormula>SUM(C17:E17)</calculatedColumnFormula>
    </tableColumn>
    <tableColumn id="7" name="Install" totalsRowFunction="sum" dataDxfId="161" totalsRowDxfId="162">
      <calculatedColumnFormula>G3/60</calculatedColumnFormula>
    </tableColumn>
    <tableColumn id="8" name="PMO" totalsRowFunction="sum" dataDxfId="159" totalsRowDxfId="160">
      <calculatedColumnFormula>H3/60</calculatedColumnFormula>
    </tableColumn>
    <tableColumn id="9" name="Break/Fix" totalsRowFunction="sum" dataDxfId="157" totalsRowDxfId="158">
      <calculatedColumnFormula>I3/60</calculatedColumnFormula>
    </tableColumn>
    <tableColumn id="10" name="Call Center" totalsRowFunction="sum" dataDxfId="155" totalsRowDxfId="156">
      <calculatedColumnFormula>J3/60</calculatedColumnFormula>
    </tableColumn>
    <tableColumn id="11" name="CSOW2" totalsRowFunction="custom" dataDxfId="153" totalsRowDxfId="154">
      <calculatedColumnFormula>SUM(Table2910[[#This Row],[Install]:[Call Center]])</calculatedColumnFormula>
      <totalsRowFormula>SUBTOTAL(109,Table2910[CSOW2])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51113" displayName="Table51113" ref="A32:C44" headerRowCount="1" totalsRowShown="0" headerRowDxfId="152" headerRowBorderDxfId="151">
  <autoFilter ref="A32:C44"/>
  <tableColumns count="3">
    <tableColumn id="1" name="SKU" dataDxfId="150"/>
    <tableColumn id="2" name="Qty" dataDxfId="149"/>
    <tableColumn id="3" name="Integration Cost" dataDxfId="14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371214" displayName="Table371214" ref="A47:H60" headerRowCount="1" totalsRowShown="0" headerRowBorderDxfId="146" tableBorderDxfId="147" totalsRowBorderDxfId="145">
  <autoFilter ref="A47:H60"/>
  <tableColumns count="8">
    <tableColumn id="1" name="SKU" dataDxfId="144"/>
    <tableColumn id="2" name="qty" dataDxfId="143"/>
    <tableColumn id="3" name="Install " dataDxfId="142"/>
    <tableColumn id="4" name="break fix" dataDxfId="141"/>
    <tableColumn id="5" name="call center" dataDxfId="140"/>
    <tableColumn id="6" name="Break fix2"/>
    <tableColumn id="7" name="call center2" dataDxfId="139"/>
    <tableColumn id="8" name="Break/Fix &amp; Call Center Total" dataDxfId="13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8" displayName="Table48" ref="B2:L8" headerRowCount="1" totalsRowShown="0" headerRowDxfId="137" tableBorderDxfId="136">
  <autoFilter ref="B2:L8"/>
  <tableColumns count="11">
    <tableColumn id="1" name="SKU" dataDxfId="135"/>
    <tableColumn id="2" name="Column2" dataDxfId="134"/>
    <tableColumn id="3" name="Integration" dataDxfId="133"/>
    <tableColumn id="4" name="Delivery" dataDxfId="132"/>
    <tableColumn id="5" name="title 60 months" dataDxfId="131"/>
    <tableColumn id="6" name="CSOW Totals" dataDxfId="130"/>
    <tableColumn id="7" name="Install" dataDxfId="129"/>
    <tableColumn id="8" name="PMO" dataDxfId="128"/>
    <tableColumn id="9" name="Break/Fix" dataDxfId="127"/>
    <tableColumn id="10" name="Call Center" dataDxfId="126"/>
    <tableColumn id="11" name="CSOW" dataDxfId="125">
      <calculatedColumnFormula>SUM(Table48[[#This Row],[Install]:[Call Center]])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29" displayName="Table29" ref="B10:L15" headerRowCount="1" totalsRowCount="1" headerRowDxfId="124">
  <autoFilter ref="B10:L14"/>
  <tableColumns count="11">
    <tableColumn id="1" name="Column1" dataDxfId="122" totalsRowDxfId="123"/>
    <tableColumn id="2" name="Column2" dataDxfId="120" totalsRowDxfId="121"/>
    <tableColumn id="3" name="Integration" totalsRowFunction="custom" dataDxfId="118" totalsRowDxfId="119">
      <calculatedColumnFormula>D4/60</calculatedColumnFormula>
      <totalsRowFormula>SUM(Table29[Integration])</totalsRowFormula>
    </tableColumn>
    <tableColumn id="4" name="Delivery" totalsRowFunction="sum" dataDxfId="116" totalsRowDxfId="117">
      <calculatedColumnFormula>E4/60</calculatedColumnFormula>
    </tableColumn>
    <tableColumn id="5" name="title 60 months" totalsRowFunction="sum" dataDxfId="114" totalsRowDxfId="115">
      <calculatedColumnFormula>F4/60</calculatedColumnFormula>
    </tableColumn>
    <tableColumn id="6" name="CSOW" totalsRowFunction="sum" dataDxfId="112" totalsRowDxfId="113">
      <calculatedColumnFormula>SUM(D11:F14)</calculatedColumnFormula>
    </tableColumn>
    <tableColumn id="7" name="Install" totalsRowFunction="sum" dataDxfId="110" totalsRowDxfId="111">
      <calculatedColumnFormula>H4/60</calculatedColumnFormula>
    </tableColumn>
    <tableColumn id="8" name="PMO" totalsRowFunction="sum" dataDxfId="108" totalsRowDxfId="109">
      <calculatedColumnFormula>I4/60</calculatedColumnFormula>
    </tableColumn>
    <tableColumn id="9" name="Break/Fix" totalsRowFunction="sum" dataDxfId="106" totalsRowDxfId="107">
      <calculatedColumnFormula>J4/60</calculatedColumnFormula>
    </tableColumn>
    <tableColumn id="10" name="Call Center" totalsRowFunction="sum" dataDxfId="104" totalsRowDxfId="105">
      <calculatedColumnFormula>K4/60</calculatedColumnFormula>
    </tableColumn>
    <tableColumn id="11" name="CSOW2" totalsRowFunction="custom" dataDxfId="102" totalsRowDxfId="103">
      <calculatedColumnFormula>SUM(Table29[[#This Row],[Install]:[Call Center]])</calculatedColumnFormula>
      <totalsRowFormula>SUBTOTAL(109,Table29[CSOW2])</totalsRow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511" displayName="Table511" ref="B19:E24" headerRowCount="1" totalsRowShown="0" headerRowDxfId="101" headerRowBorderDxfId="100">
  <autoFilter ref="B19:E24"/>
  <tableColumns count="4">
    <tableColumn id="1" name="SKU" dataDxfId="99"/>
    <tableColumn id="2" name="Qty" dataDxfId="98"/>
    <tableColumn id="3" name="Integration Cost" dataDxfId="97"/>
    <tableColumn id="4" name="SDaaS" dataDxfId="9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3712" displayName="Table3712" ref="B27:J35" headerRowCount="1" totalsRowCount="1" headerRowBorderDxfId="94" tableBorderDxfId="95" totalsRowBorderDxfId="93">
  <autoFilter ref="B27:J34"/>
  <tableColumns count="9">
    <tableColumn id="1" name="SKU" dataDxfId="91" totalsRowDxfId="92"/>
    <tableColumn id="2" name="qty" dataDxfId="89" totalsRowDxfId="90"/>
    <tableColumn id="3" name="Install " dataDxfId="87" totalsRowDxfId="88"/>
    <tableColumn id="4" name="break fix" dataDxfId="85" totalsRowDxfId="86"/>
    <tableColumn id="5" name="call center" dataDxfId="83" totalsRowDxfId="84"/>
    <tableColumn id="6" name="Break fix2" totalsRowDxfId="82"/>
    <tableColumn id="7" name="call center2" dataDxfId="80" totalsRowDxfId="81"/>
    <tableColumn id="8" name="Break/Fix &amp; Call Center Total" dataDxfId="78" totalsRowDxfId="79"/>
    <tableColumn id="9" name="Column1" totalsRowDxfId="7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483" displayName="Table483" ref="B44:L50" headerRowCount="1" totalsRowShown="0" headerRowDxfId="76" tableBorderDxfId="75">
  <autoFilter ref="B44:L50"/>
  <tableColumns count="11">
    <tableColumn id="1" name="SKU" dataDxfId="74"/>
    <tableColumn id="2" name="Column2" dataDxfId="73"/>
    <tableColumn id="3" name="Integration" dataDxfId="72"/>
    <tableColumn id="4" name="Delivery" dataDxfId="71"/>
    <tableColumn id="5" name="title 60 months" dataDxfId="70"/>
    <tableColumn id="6" name="CSOW Totals" dataDxfId="69"/>
    <tableColumn id="7" name="Install" dataDxfId="68"/>
    <tableColumn id="8" name="PMO" dataDxfId="67"/>
    <tableColumn id="9" name="Break/Fix" dataDxfId="66"/>
    <tableColumn id="10" name="Call Center" dataDxfId="65"/>
    <tableColumn id="11" name="CSOW" dataDxfId="64">
      <calculatedColumnFormula>SUM(Table483[[#This Row],[Install]:[Call Center]])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294" displayName="Table294" ref="B52:L57" headerRowCount="1" totalsRowCount="1" headerRowDxfId="63">
  <autoFilter ref="B52:L56"/>
  <tableColumns count="11">
    <tableColumn id="1" name="Column1" dataDxfId="61" totalsRowDxfId="62"/>
    <tableColumn id="2" name="Column2" dataDxfId="59" totalsRowDxfId="60"/>
    <tableColumn id="3" name="Integration" totalsRowFunction="custom" dataDxfId="57" totalsRowDxfId="58">
      <calculatedColumnFormula>D46/60</calculatedColumnFormula>
      <totalsRowFormula>SUM(Table294[Integration])</totalsRowFormula>
    </tableColumn>
    <tableColumn id="4" name="Delivery" totalsRowFunction="sum" dataDxfId="55" totalsRowDxfId="56">
      <calculatedColumnFormula>E46/60</calculatedColumnFormula>
    </tableColumn>
    <tableColumn id="5" name="title 60 months" totalsRowFunction="sum" dataDxfId="53" totalsRowDxfId="54">
      <calculatedColumnFormula>F46/60</calculatedColumnFormula>
    </tableColumn>
    <tableColumn id="6" name="CSOW" totalsRowFunction="sum" dataDxfId="51" totalsRowDxfId="52">
      <calculatedColumnFormula>SUM(D53:F53)</calculatedColumnFormula>
    </tableColumn>
    <tableColumn id="7" name="Install" totalsRowFunction="sum" dataDxfId="49" totalsRowDxfId="50">
      <calculatedColumnFormula>H46/60</calculatedColumnFormula>
    </tableColumn>
    <tableColumn id="8" name="PMO" totalsRowFunction="sum" dataDxfId="47" totalsRowDxfId="48">
      <calculatedColumnFormula>I46/60</calculatedColumnFormula>
    </tableColumn>
    <tableColumn id="9" name="Break/Fix" totalsRowFunction="sum" dataDxfId="45" totalsRowDxfId="46">
      <calculatedColumnFormula>J46/60</calculatedColumnFormula>
    </tableColumn>
    <tableColumn id="10" name="Call Center" totalsRowFunction="sum" dataDxfId="43" totalsRowDxfId="44">
      <calculatedColumnFormula>K46/60</calculatedColumnFormula>
    </tableColumn>
    <tableColumn id="11" name="CSOW2" totalsRowFunction="sum" dataDxfId="41" totalsRowDxfId="42">
      <calculatedColumnFormula>SUM(Table294[[#This Row],[Install]:[Call Center]])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5115" displayName="Table5115" ref="B61:D66" headerRowCount="1" totalsRowShown="0" headerRowDxfId="40" headerRowBorderDxfId="39">
  <autoFilter ref="B61:D66"/>
  <tableColumns count="3">
    <tableColumn id="1" name="SKU" dataDxfId="38"/>
    <tableColumn id="2" name="Qty" dataDxfId="37"/>
    <tableColumn id="3" name="Integration Cost" dataDxfId="36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37126" displayName="Table37126" ref="B69:J76" headerRowCount="1" totalsRowCount="1" headerRowBorderDxfId="34" tableBorderDxfId="35" totalsRowBorderDxfId="33">
  <autoFilter ref="B69:J75"/>
  <tableColumns count="9">
    <tableColumn id="1" name="SKU" dataDxfId="31" totalsRowDxfId="32"/>
    <tableColumn id="2" name="qty" dataDxfId="29" totalsRowDxfId="30"/>
    <tableColumn id="3" name="Install " dataDxfId="27" totalsRowDxfId="28"/>
    <tableColumn id="4" name="break fix" dataDxfId="25" totalsRowDxfId="26"/>
    <tableColumn id="5" name="call center" dataDxfId="23" totalsRowDxfId="24"/>
    <tableColumn id="6" name="Break fix2" dataDxfId="21" totalsRowDxfId="22"/>
    <tableColumn id="7" name="call center2" dataDxfId="19" totalsRowDxfId="20"/>
    <tableColumn id="8" name="Break/Fix &amp; Call Center Total" dataDxfId="17" totalsRowDxfId="18"/>
    <tableColumn id="9" name="Column1" totalsRowDxfId="1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" displayName="Table1" ref="C1:J358" headerRowCount="1" totalsRowShown="0">
  <autoFilter ref="C1:J358"/>
  <tableColumns count="8">
    <tableColumn id="1" name="Country "/>
    <tableColumn id="2" name="Currency Code"/>
    <tableColumn id="3" name="Cost Center Hierarchy"/>
    <tableColumn id="4" name="Cost Center Name" dataDxfId="3"/>
    <tableColumn id="5" name="Job Code" dataDxfId="2"/>
    <tableColumn id="6" name="Job Name"/>
    <tableColumn id="7" name="Currency Symbol"/>
    <tableColumn id="8" name="Standard Burden Cost R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Relationship Type="http://schemas.openxmlformats.org/officeDocument/2006/relationships/table" Target="/xl/tables/table10.xml" Id="rId6" /><Relationship Type="http://schemas.openxmlformats.org/officeDocument/2006/relationships/table" Target="/xl/tables/table11.xml" Id="rId7" /><Relationship Type="http://schemas.openxmlformats.org/officeDocument/2006/relationships/table" Target="/xl/tables/table12.xml" Id="rId8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B2:C20"/>
  <sheetViews>
    <sheetView showGridLines="0" workbookViewId="0">
      <selection activeCell="D15" sqref="D15"/>
    </sheetView>
  </sheetViews>
  <sheetFormatPr baseColWidth="8" defaultRowHeight="14.1"/>
  <cols>
    <col width="4.625" customWidth="1" style="433" min="1" max="1"/>
    <col width="30" customWidth="1" style="433" min="2" max="2"/>
    <col width="41.125" customWidth="1" style="433" min="3" max="3"/>
  </cols>
  <sheetData>
    <row r="2">
      <c r="B2" s="409" t="inlineStr">
        <is>
          <t>SSA Input Details</t>
        </is>
      </c>
      <c r="C2" s="432" t="n"/>
    </row>
    <row r="3">
      <c r="B3" s="258" t="inlineStr">
        <is>
          <t>Description</t>
        </is>
      </c>
      <c r="C3" s="258" t="inlineStr">
        <is>
          <t>Input</t>
        </is>
      </c>
    </row>
    <row r="4">
      <c r="B4" s="257" t="inlineStr">
        <is>
          <t>Google (Customer) Entity</t>
        </is>
      </c>
      <c r="C4" s="277" t="n"/>
    </row>
    <row r="5">
      <c r="B5" s="216" t="inlineStr">
        <is>
          <t>WWT Entity</t>
        </is>
      </c>
      <c r="C5" s="242" t="n"/>
    </row>
    <row r="6">
      <c r="B6" s="216" t="inlineStr">
        <is>
          <t>Partner 1 Entity</t>
        </is>
      </c>
      <c r="C6" s="242" t="n"/>
    </row>
    <row r="7">
      <c r="B7" s="216" t="inlineStr">
        <is>
          <t>Partner 2 Entity</t>
        </is>
      </c>
      <c r="C7" s="242" t="n"/>
    </row>
    <row r="8">
      <c r="B8" s="216" t="inlineStr">
        <is>
          <t>Currency</t>
        </is>
      </c>
      <c r="C8" s="242" t="inlineStr">
        <is>
          <t>&lt;&lt;Select Currency&gt;&gt;</t>
        </is>
      </c>
    </row>
    <row r="9">
      <c r="B9" s="216" t="inlineStr">
        <is>
          <t>Currency Conversion Rate</t>
        </is>
      </c>
      <c r="C9" s="242" t="n"/>
    </row>
    <row r="10">
      <c r="B10" s="216" t="inlineStr">
        <is>
          <t>Select PMO Role</t>
        </is>
      </c>
      <c r="C10" s="242" t="inlineStr">
        <is>
          <t>&lt;&lt;Select Role&gt;&gt;</t>
        </is>
      </c>
    </row>
    <row r="11">
      <c r="B11" s="216" t="inlineStr">
        <is>
          <t>Installation Partner</t>
        </is>
      </c>
      <c r="C11" s="242" t="inlineStr">
        <is>
          <t>&lt;&lt;Select Partner&gt;&gt;</t>
        </is>
      </c>
    </row>
    <row r="12">
      <c r="B12" s="216" t="inlineStr">
        <is>
          <t>Break/Fix Partner</t>
        </is>
      </c>
      <c r="C12" s="242" t="inlineStr">
        <is>
          <t>&lt;&lt;Select Partner&gt;&gt;</t>
        </is>
      </c>
    </row>
    <row r="13">
      <c r="B13" s="216" t="inlineStr">
        <is>
          <t>Call Center Partner</t>
        </is>
      </c>
      <c r="C13" s="242" t="inlineStr">
        <is>
          <t>&lt;&lt;Select Partner&gt;&gt;</t>
        </is>
      </c>
    </row>
    <row r="15">
      <c r="B15" s="410" t="inlineStr">
        <is>
          <t>Estimator File Information</t>
        </is>
      </c>
    </row>
    <row r="16">
      <c r="B16" t="inlineStr">
        <is>
          <t>The following tabs are hidden:</t>
        </is>
      </c>
    </row>
    <row r="17">
      <c r="B17" s="259" t="inlineStr">
        <is>
          <t>"Summary Old"</t>
        </is>
      </c>
    </row>
    <row r="18">
      <c r="B18" s="259" t="inlineStr">
        <is>
          <t>"WWT IC w FY25 pricing"</t>
        </is>
      </c>
    </row>
    <row r="19">
      <c r="B19" s="259" t="inlineStr">
        <is>
          <t>"PSOW PPT Install"</t>
        </is>
      </c>
    </row>
    <row r="20">
      <c r="B20" s="259" t="inlineStr">
        <is>
          <t>"PMO Resources"</t>
        </is>
      </c>
    </row>
  </sheetData>
  <mergeCells count="2">
    <mergeCell ref="B2:C2"/>
    <mergeCell ref="B15:C15"/>
  </mergeCells>
  <conditionalFormatting sqref="C11:C13">
    <cfRule type="cellIs" priority="1" operator="equal" dxfId="8">
      <formula>"DHPROGRAM.ProgramManager"</formula>
    </cfRule>
  </conditionalFormatting>
  <dataValidations count="2">
    <dataValidation sqref="C13" showDropDown="0" showInputMessage="1" showErrorMessage="1" allowBlank="1" type="list">
      <formula1>"&lt;&lt;Select Partner&gt;&gt;,Park Place,Probity,WWT"</formula1>
    </dataValidation>
    <dataValidation sqref="C11 C12" showDropDown="0" showInputMessage="1" showErrorMessage="1" allowBlank="1" type="list">
      <formula1>"&lt;&lt;Select Partner&gt;&gt;,Park Place,Probity,Teceze"</formula1>
    </dataValidation>
  </dataValidation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B2:K56"/>
  <sheetViews>
    <sheetView showGridLines="0" topLeftCell="B1" zoomScale="97" workbookViewId="0">
      <selection activeCell="F54" activeCellId="2" sqref="E38:H40 E45:H50 F54:H56"/>
    </sheetView>
  </sheetViews>
  <sheetFormatPr baseColWidth="8" defaultRowHeight="14.1"/>
  <cols>
    <col width="3.875" customWidth="1" style="433" min="1" max="1"/>
    <col width="25.5" customWidth="1" style="433" min="2" max="2"/>
    <col width="33.375" customWidth="1" style="433" min="3" max="3"/>
    <col width="16.375" customWidth="1" style="433" min="4" max="4"/>
    <col width="15" bestFit="1" customWidth="1" style="433" min="5" max="5"/>
    <col width="20" bestFit="1" customWidth="1" style="433" min="6" max="6"/>
    <col width="16.125" bestFit="1" customWidth="1" style="433" min="7" max="8"/>
  </cols>
  <sheetData>
    <row r="2">
      <c r="B2" s="216" t="inlineStr">
        <is>
          <t>Google (Customer) Entity</t>
        </is>
      </c>
      <c r="C2" s="438">
        <f>IF('Estimator Input'!C4="","",'Estimator Input'!C4)</f>
        <v/>
      </c>
    </row>
    <row r="3">
      <c r="B3" s="216" t="inlineStr">
        <is>
          <t>WWT Entity</t>
        </is>
      </c>
      <c r="C3" s="438">
        <f>IF('Estimator Input'!C5="","",'Estimator Input'!C5)</f>
        <v/>
      </c>
    </row>
    <row r="4">
      <c r="B4" s="216" t="inlineStr">
        <is>
          <t>Partner 1 Entity</t>
        </is>
      </c>
      <c r="C4" s="438">
        <f>IF('Estimator Input'!C6="","",'Estimator Input'!C6)</f>
        <v/>
      </c>
    </row>
    <row r="5">
      <c r="B5" s="216" t="inlineStr">
        <is>
          <t>Partner 2 Entity</t>
        </is>
      </c>
      <c r="C5" s="438">
        <f>IF('Estimator Input'!C7="","",'Estimator Input'!C7)</f>
        <v/>
      </c>
    </row>
    <row r="6">
      <c r="B6" s="216" t="inlineStr">
        <is>
          <t>Currency</t>
        </is>
      </c>
      <c r="C6" s="438">
        <f>IF('Estimator Input'!C8="","",'Estimator Input'!C8)</f>
        <v/>
      </c>
    </row>
    <row r="7" ht="18.75" customHeight="1" s="433"/>
    <row r="8" ht="18" customHeight="1" s="433">
      <c r="B8" s="434" t="inlineStr">
        <is>
          <t>SQ - Milestone 1 - Installation</t>
        </is>
      </c>
    </row>
    <row r="9">
      <c r="B9" s="352" t="inlineStr">
        <is>
          <t>SOW Format - FFP</t>
        </is>
      </c>
      <c r="C9" s="353" t="inlineStr">
        <is>
          <t>Completed Contract</t>
        </is>
      </c>
      <c r="D9" s="352" t="n"/>
      <c r="E9" s="352" t="n"/>
      <c r="F9" s="352" t="n"/>
      <c r="G9" s="352" t="n"/>
      <c r="H9" s="352" t="n"/>
      <c r="I9" s="352" t="n"/>
    </row>
    <row r="10">
      <c r="B10" s="436" t="inlineStr">
        <is>
          <t>Partner</t>
        </is>
      </c>
      <c r="C10" s="436" t="inlineStr">
        <is>
          <t>Description</t>
        </is>
      </c>
      <c r="D10" s="436" t="inlineStr">
        <is>
          <t>QTY</t>
        </is>
      </c>
      <c r="E10" s="245" t="inlineStr">
        <is>
          <t>Unit Cost (USD)</t>
        </is>
      </c>
      <c r="F10" s="245" t="inlineStr">
        <is>
          <t>Extended Cost (USD)</t>
        </is>
      </c>
      <c r="G10" s="245" t="inlineStr">
        <is>
          <t>Revenue (USD)</t>
        </is>
      </c>
      <c r="H10" s="245" t="inlineStr">
        <is>
          <t>GP (USD)</t>
        </is>
      </c>
      <c r="I10" s="245" t="inlineStr">
        <is>
          <t>GP%</t>
        </is>
      </c>
    </row>
    <row r="11">
      <c r="B11" s="438">
        <f>Summary!B12</f>
        <v/>
      </c>
      <c r="C11" s="438" t="inlineStr">
        <is>
          <t>Installation Services</t>
        </is>
      </c>
      <c r="D11" s="438">
        <f>Summary!E12</f>
        <v/>
      </c>
      <c r="E11" s="480">
        <f>Summary!F12</f>
        <v/>
      </c>
      <c r="F11" s="480">
        <f>D11*E11</f>
        <v/>
      </c>
      <c r="G11" s="480">
        <f>Summary!H12</f>
        <v/>
      </c>
      <c r="H11" s="480">
        <f>G11-E11</f>
        <v/>
      </c>
      <c r="I11" s="243">
        <f>H11/G11</f>
        <v/>
      </c>
      <c r="K11" s="354" t="inlineStr">
        <is>
          <t>Add site walk line</t>
        </is>
      </c>
    </row>
    <row r="12" ht="14.45" customHeight="1" s="433" thickBot="1">
      <c r="B12" s="439" t="n"/>
      <c r="C12" s="439" t="n"/>
      <c r="D12" s="439" t="n"/>
      <c r="E12" s="481" t="n"/>
      <c r="F12" s="481" t="n"/>
      <c r="G12" s="481" t="n"/>
      <c r="H12" s="481" t="n"/>
      <c r="I12" s="244" t="n"/>
    </row>
    <row r="13" ht="14.45" customHeight="1" s="433" thickTop="1">
      <c r="B13" s="412" t="inlineStr">
        <is>
          <t>Totals</t>
        </is>
      </c>
      <c r="C13" s="435" t="n"/>
      <c r="D13" s="435" t="n"/>
      <c r="E13" s="482" t="n"/>
      <c r="F13" s="483">
        <f>SUM(F11:F12)</f>
        <v/>
      </c>
      <c r="G13" s="483">
        <f>SUM(G11:G12)</f>
        <v/>
      </c>
      <c r="H13" s="483">
        <f>G13-F13</f>
        <v/>
      </c>
      <c r="I13" s="246">
        <f>H13/G13</f>
        <v/>
      </c>
    </row>
    <row r="15" ht="18" customHeight="1" s="433">
      <c r="B15" s="434" t="inlineStr">
        <is>
          <t>SQ - Milestone 2 - Managed Services</t>
        </is>
      </c>
    </row>
    <row r="16">
      <c r="B16" s="352" t="inlineStr">
        <is>
          <t>SOW Format - Streamline</t>
        </is>
      </c>
      <c r="C16" s="353" t="inlineStr">
        <is>
          <t>Streamline</t>
        </is>
      </c>
      <c r="D16" s="352" t="n"/>
      <c r="E16" s="352" t="n"/>
      <c r="F16" s="352" t="n"/>
      <c r="G16" s="352" t="n"/>
      <c r="H16" s="352" t="n"/>
      <c r="I16" s="352" t="n"/>
    </row>
    <row r="17">
      <c r="B17" s="436" t="inlineStr">
        <is>
          <t>Role/ Partner</t>
        </is>
      </c>
      <c r="C17" s="436" t="inlineStr">
        <is>
          <t>Cost Center/ Description</t>
        </is>
      </c>
      <c r="D17" s="436" t="inlineStr">
        <is>
          <t>QTY/ Hours</t>
        </is>
      </c>
      <c r="E17" s="245" t="inlineStr">
        <is>
          <t>Unit Cost (USD)</t>
        </is>
      </c>
      <c r="F17" s="245" t="inlineStr">
        <is>
          <t>Extended Cost (USD)</t>
        </is>
      </c>
      <c r="G17" s="245" t="inlineStr">
        <is>
          <t>Revenue (USD)</t>
        </is>
      </c>
      <c r="H17" s="245" t="inlineStr">
        <is>
          <t>GP (USD)</t>
        </is>
      </c>
      <c r="I17" s="245" t="inlineStr">
        <is>
          <t>GP%</t>
        </is>
      </c>
    </row>
    <row r="18">
      <c r="B18" s="438">
        <f>Summary!B17</f>
        <v/>
      </c>
      <c r="C18" s="438">
        <f>Summary!C17</f>
        <v/>
      </c>
      <c r="D18" s="438">
        <f>IFERROR(Summary!E17,0)</f>
        <v/>
      </c>
      <c r="E18" s="480">
        <f>Summary!F17</f>
        <v/>
      </c>
      <c r="F18" s="480">
        <f>D18*E18</f>
        <v/>
      </c>
      <c r="G18" s="480">
        <f>OLD!I8</f>
        <v/>
      </c>
      <c r="H18" s="480">
        <f>G18-F18</f>
        <v/>
      </c>
      <c r="I18" s="243">
        <f>IFERROR(H18/G18,"")</f>
        <v/>
      </c>
    </row>
    <row r="19">
      <c r="B19" s="248">
        <f>Summary!B22</f>
        <v/>
      </c>
      <c r="C19" s="438" t="inlineStr">
        <is>
          <t>DAY2 - Managed Services Break/Fix</t>
        </is>
      </c>
      <c r="D19" s="248">
        <f>Summary!E22</f>
        <v/>
      </c>
      <c r="E19" s="484">
        <f>Summary!F22</f>
        <v/>
      </c>
      <c r="F19" s="484">
        <f>D19*E19</f>
        <v/>
      </c>
      <c r="G19" s="484">
        <f>OLD!J8</f>
        <v/>
      </c>
      <c r="H19" s="480">
        <f>G19-F19</f>
        <v/>
      </c>
      <c r="I19" s="243">
        <f>IFERROR(H19/G19,"")</f>
        <v/>
      </c>
    </row>
    <row r="20">
      <c r="B20" s="248">
        <f>Summary!B23</f>
        <v/>
      </c>
      <c r="C20" s="248" t="inlineStr">
        <is>
          <t>DAY2 - Managed Services Call Center</t>
        </is>
      </c>
      <c r="D20" s="248">
        <f>Summary!E23</f>
        <v/>
      </c>
      <c r="E20" s="484">
        <f>Summary!F23</f>
        <v/>
      </c>
      <c r="F20" s="484">
        <f>D20*E20</f>
        <v/>
      </c>
      <c r="G20" s="484">
        <f>OLD!K8</f>
        <v/>
      </c>
      <c r="H20" s="480">
        <f>G20-F20</f>
        <v/>
      </c>
      <c r="I20" s="243">
        <f>IFERROR(H20/G20,"")</f>
        <v/>
      </c>
    </row>
    <row r="21">
      <c r="B21" s="248" t="inlineStr">
        <is>
          <t>Travel Budget</t>
        </is>
      </c>
      <c r="C21" s="248" t="n"/>
      <c r="D21" s="248">
        <f>Summary!E24</f>
        <v/>
      </c>
      <c r="E21" s="484">
        <f>Summary!F24</f>
        <v/>
      </c>
      <c r="F21" s="484">
        <f>D21*E21</f>
        <v/>
      </c>
      <c r="G21" s="484">
        <f>OLD!K9</f>
        <v/>
      </c>
      <c r="H21" s="480">
        <f>G21-F21</f>
        <v/>
      </c>
      <c r="I21" s="243">
        <f>IFERROR(H21/G21,"")</f>
        <v/>
      </c>
    </row>
    <row r="22" ht="14.45" customHeight="1" s="433" thickBot="1">
      <c r="B22" s="439" t="n"/>
      <c r="C22" s="439" t="n"/>
      <c r="D22" s="439" t="n"/>
      <c r="E22" s="481" t="n"/>
      <c r="F22" s="481" t="n"/>
      <c r="G22" s="481" t="n"/>
      <c r="H22" s="481" t="n"/>
      <c r="I22" s="244">
        <f>IFERROR(H22/G22,"")</f>
        <v/>
      </c>
    </row>
    <row r="23" ht="14.45" customHeight="1" s="433" thickTop="1">
      <c r="B23" s="412" t="inlineStr">
        <is>
          <t>Totals</t>
        </is>
      </c>
      <c r="C23" s="435" t="n"/>
      <c r="D23" s="435" t="n"/>
      <c r="E23" s="482" t="n"/>
      <c r="F23" s="483">
        <f>SUM(F18:F22)</f>
        <v/>
      </c>
      <c r="G23" s="483">
        <f>SUM(G18:G22)</f>
        <v/>
      </c>
      <c r="H23" s="483">
        <f>G23-F23</f>
        <v/>
      </c>
      <c r="I23" s="246">
        <f>H23/G23</f>
        <v/>
      </c>
    </row>
    <row r="25" ht="18" customHeight="1" s="433">
      <c r="B25" s="434" t="inlineStr">
        <is>
          <t>SRC IR - Integration Services</t>
        </is>
      </c>
    </row>
    <row r="26">
      <c r="B26" s="436" t="inlineStr">
        <is>
          <t>Description</t>
        </is>
      </c>
      <c r="C26" s="437" t="n"/>
      <c r="D26" s="437" t="n"/>
      <c r="E26" s="432" t="n"/>
      <c r="F26" s="245" t="inlineStr">
        <is>
          <t xml:space="preserve"> Cost (USD)</t>
        </is>
      </c>
      <c r="G26" s="245" t="inlineStr">
        <is>
          <t>Revenue (USD)</t>
        </is>
      </c>
      <c r="H26" s="245" t="inlineStr">
        <is>
          <t>GP (USD)</t>
        </is>
      </c>
      <c r="I26" s="245" t="inlineStr">
        <is>
          <t>GP%</t>
        </is>
      </c>
    </row>
    <row r="27">
      <c r="B27" s="438" t="inlineStr">
        <is>
          <t>Integration Services (Integration, Delivery, CoC)</t>
        </is>
      </c>
      <c r="C27" s="437" t="n"/>
      <c r="D27" s="437" t="n"/>
      <c r="E27" s="432" t="n"/>
      <c r="F27" s="480">
        <f>Summary!G8</f>
        <v/>
      </c>
      <c r="G27" s="480">
        <f>SUM(OLD!D8,OLD!E8,OLD!F8)</f>
        <v/>
      </c>
      <c r="H27" s="480">
        <f>G27-F27</f>
        <v/>
      </c>
      <c r="I27" s="243">
        <f>H27/G27</f>
        <v/>
      </c>
    </row>
    <row r="28" ht="14.45" customHeight="1" s="433" thickBot="1">
      <c r="B28" s="439" t="n"/>
      <c r="C28" s="440" t="n"/>
      <c r="D28" s="440" t="n"/>
      <c r="E28" s="441" t="n"/>
      <c r="F28" s="481" t="n"/>
      <c r="G28" s="481" t="n"/>
      <c r="H28" s="481" t="n"/>
      <c r="I28" s="244" t="n"/>
    </row>
    <row r="29" ht="14.45" customHeight="1" s="433" thickTop="1">
      <c r="B29" s="442" t="inlineStr">
        <is>
          <t>Totals</t>
        </is>
      </c>
      <c r="C29" s="435" t="n"/>
      <c r="D29" s="435" t="n"/>
      <c r="E29" s="443" t="n"/>
      <c r="F29" s="483">
        <f>SUM(F27:F28)</f>
        <v/>
      </c>
      <c r="G29" s="483">
        <f>SUM(G27:G28)</f>
        <v/>
      </c>
      <c r="H29" s="483">
        <f>G29-F29</f>
        <v/>
      </c>
      <c r="I29" s="246">
        <f>H29/G29</f>
        <v/>
      </c>
    </row>
    <row r="32">
      <c r="B32" s="411" t="inlineStr">
        <is>
          <t>Currency Conversion Tables</t>
        </is>
      </c>
    </row>
    <row r="33"/>
    <row r="35" ht="18" customHeight="1" s="433">
      <c r="B35" s="434" t="inlineStr">
        <is>
          <t>SQ - Milestone 1 - Installation</t>
        </is>
      </c>
    </row>
    <row r="36">
      <c r="B36" s="352" t="inlineStr">
        <is>
          <t>SOW Format - FFP</t>
        </is>
      </c>
      <c r="C36" s="358" t="inlineStr">
        <is>
          <t>Completed Contract</t>
        </is>
      </c>
      <c r="D36" s="352" t="n"/>
      <c r="E36" s="352" t="n"/>
      <c r="F36" s="352" t="n"/>
      <c r="G36" s="352" t="n"/>
      <c r="H36" s="352" t="n"/>
      <c r="I36" s="352" t="n"/>
    </row>
    <row r="37">
      <c r="B37" s="436" t="inlineStr">
        <is>
          <t>Partner</t>
        </is>
      </c>
      <c r="C37" s="436" t="inlineStr">
        <is>
          <t>Description</t>
        </is>
      </c>
      <c r="D37" s="436" t="inlineStr">
        <is>
          <t>QTY</t>
        </is>
      </c>
      <c r="E37" s="245" t="inlineStr">
        <is>
          <t>Unit Cost</t>
        </is>
      </c>
      <c r="F37" s="245" t="inlineStr">
        <is>
          <t>Extended Cost</t>
        </is>
      </c>
      <c r="G37" s="245" t="inlineStr">
        <is>
          <t>Revenue</t>
        </is>
      </c>
      <c r="H37" s="245" t="inlineStr">
        <is>
          <t>GP</t>
        </is>
      </c>
      <c r="I37" s="245" t="inlineStr">
        <is>
          <t>GP%</t>
        </is>
      </c>
    </row>
    <row r="38">
      <c r="B38" s="438">
        <f>Summary!B12</f>
        <v/>
      </c>
      <c r="C38" s="438" t="inlineStr">
        <is>
          <t>Installation Services</t>
        </is>
      </c>
      <c r="D38" s="438">
        <f>Summary!E12</f>
        <v/>
      </c>
      <c r="E38" s="334">
        <f>E11*'Estimator Input'!$C$9</f>
        <v/>
      </c>
      <c r="F38" s="334">
        <f>F11*'Estimator Input'!$C$9</f>
        <v/>
      </c>
      <c r="G38" s="334">
        <f>G11*'Estimator Input'!$C$9</f>
        <v/>
      </c>
      <c r="H38" s="334">
        <f>H11*'Estimator Input'!$C$9</f>
        <v/>
      </c>
      <c r="I38" s="243">
        <f>H38/G38</f>
        <v/>
      </c>
    </row>
    <row r="39" ht="14.45" customHeight="1" s="433" thickBot="1">
      <c r="B39" s="439" t="n"/>
      <c r="C39" s="439" t="n"/>
      <c r="D39" s="439" t="n"/>
      <c r="E39" s="485" t="n"/>
      <c r="F39" s="485" t="n"/>
      <c r="G39" s="485" t="n"/>
      <c r="H39" s="485" t="n"/>
      <c r="I39" s="244" t="n"/>
    </row>
    <row r="40" ht="14.45" customHeight="1" s="433" thickTop="1">
      <c r="B40" s="412" t="inlineStr">
        <is>
          <t>Totals</t>
        </is>
      </c>
      <c r="C40" s="435" t="n"/>
      <c r="D40" s="435" t="n"/>
      <c r="E40" s="357" t="n"/>
      <c r="F40" s="335">
        <f>F13*'Estimator Input'!$C$9</f>
        <v/>
      </c>
      <c r="G40" s="335">
        <f>G13*'Estimator Input'!$C$9</f>
        <v/>
      </c>
      <c r="H40" s="335">
        <f>H13*'Estimator Input'!$C$9</f>
        <v/>
      </c>
      <c r="I40" s="246">
        <f>H40/G40</f>
        <v/>
      </c>
    </row>
    <row r="42" ht="18" customHeight="1" s="433">
      <c r="B42" s="434" t="inlineStr">
        <is>
          <t>SQ - Milestone 2 - Managed Services</t>
        </is>
      </c>
    </row>
    <row r="43">
      <c r="B43" s="352" t="inlineStr">
        <is>
          <t>SOW Format - Streamline</t>
        </is>
      </c>
      <c r="C43" s="358" t="inlineStr">
        <is>
          <t>Streamline</t>
        </is>
      </c>
      <c r="D43" s="352" t="n"/>
      <c r="E43" s="352" t="n"/>
      <c r="F43" s="352" t="n"/>
      <c r="G43" s="352" t="n"/>
      <c r="H43" s="352" t="n"/>
      <c r="I43" s="352" t="n"/>
    </row>
    <row r="44">
      <c r="B44" s="436" t="inlineStr">
        <is>
          <t>Role/ Partner</t>
        </is>
      </c>
      <c r="C44" s="436" t="inlineStr">
        <is>
          <t>Cost Center/ Description</t>
        </is>
      </c>
      <c r="D44" s="436" t="inlineStr">
        <is>
          <t>QTY/ Hours</t>
        </is>
      </c>
      <c r="E44" s="245" t="inlineStr">
        <is>
          <t>Unit Cost</t>
        </is>
      </c>
      <c r="F44" s="245" t="inlineStr">
        <is>
          <t>Extended Cost</t>
        </is>
      </c>
      <c r="G44" s="245" t="inlineStr">
        <is>
          <t>Revenue</t>
        </is>
      </c>
      <c r="H44" s="245" t="inlineStr">
        <is>
          <t>GP</t>
        </is>
      </c>
      <c r="I44" s="245" t="inlineStr">
        <is>
          <t>GP%</t>
        </is>
      </c>
    </row>
    <row r="45">
      <c r="B45" s="438">
        <f>Summary!B17</f>
        <v/>
      </c>
      <c r="C45" s="438">
        <f>Summary!C17</f>
        <v/>
      </c>
      <c r="D45" s="438">
        <f>Summary!E17</f>
        <v/>
      </c>
      <c r="E45" s="334">
        <f>E18*'Estimator Input'!$C$9</f>
        <v/>
      </c>
      <c r="F45" s="334">
        <f>F18*'Estimator Input'!$C$9</f>
        <v/>
      </c>
      <c r="G45" s="334">
        <f>G18*'Estimator Input'!$C$9</f>
        <v/>
      </c>
      <c r="H45" s="334">
        <f>H18*'Estimator Input'!$C$9</f>
        <v/>
      </c>
      <c r="I45" s="243">
        <f>IFERROR(H45/G45,"")</f>
        <v/>
      </c>
    </row>
    <row r="46">
      <c r="B46" s="248">
        <f>Summary!B22</f>
        <v/>
      </c>
      <c r="C46" s="438" t="inlineStr">
        <is>
          <t>DAY2 - Managed Services Break/Fix</t>
        </is>
      </c>
      <c r="D46" s="248">
        <f>Summary!E22</f>
        <v/>
      </c>
      <c r="E46" s="334">
        <f>E19*'Estimator Input'!$C$9</f>
        <v/>
      </c>
      <c r="F46" s="334">
        <f>F19*'Estimator Input'!$C$9</f>
        <v/>
      </c>
      <c r="G46" s="334">
        <f>G19*'Estimator Input'!$C$9</f>
        <v/>
      </c>
      <c r="H46" s="334">
        <f>H19*'Estimator Input'!$C$9</f>
        <v/>
      </c>
      <c r="I46" s="243">
        <f>IFERROR(H46/G46,"")</f>
        <v/>
      </c>
    </row>
    <row r="47">
      <c r="B47" s="248">
        <f>Summary!B23</f>
        <v/>
      </c>
      <c r="C47" s="248" t="inlineStr">
        <is>
          <t>DAY2 - Managed Services Call Center</t>
        </is>
      </c>
      <c r="D47" s="248">
        <f>Summary!E23</f>
        <v/>
      </c>
      <c r="E47" s="334">
        <f>E20*'Estimator Input'!$C$9</f>
        <v/>
      </c>
      <c r="F47" s="334">
        <f>F20*'Estimator Input'!$C$9</f>
        <v/>
      </c>
      <c r="G47" s="334">
        <f>G20*'Estimator Input'!$C$9</f>
        <v/>
      </c>
      <c r="H47" s="334">
        <f>H20*'Estimator Input'!$C$9</f>
        <v/>
      </c>
      <c r="I47" s="243">
        <f>IFERROR(H47/G47,"")</f>
        <v/>
      </c>
    </row>
    <row r="48">
      <c r="B48" s="248" t="inlineStr">
        <is>
          <t>Travel Budget</t>
        </is>
      </c>
      <c r="C48" s="248" t="n"/>
      <c r="D48" s="248">
        <f>Summary!E24</f>
        <v/>
      </c>
      <c r="E48" s="334">
        <f>E21*'Estimator Input'!$C$9</f>
        <v/>
      </c>
      <c r="F48" s="334">
        <f>F21*'Estimator Input'!$C$9</f>
        <v/>
      </c>
      <c r="G48" s="334">
        <f>G21*'Estimator Input'!$C$9</f>
        <v/>
      </c>
      <c r="H48" s="334">
        <f>H21*'Estimator Input'!$C$9</f>
        <v/>
      </c>
      <c r="I48" s="243">
        <f>IFERROR(H48/G48,"")</f>
        <v/>
      </c>
    </row>
    <row r="49" ht="14.45" customHeight="1" s="433" thickBot="1">
      <c r="B49" s="439" t="n"/>
      <c r="C49" s="439" t="n"/>
      <c r="D49" s="439" t="n"/>
      <c r="E49" s="485" t="n"/>
      <c r="F49" s="485" t="n"/>
      <c r="G49" s="485" t="n"/>
      <c r="H49" s="485" t="n"/>
      <c r="I49" s="244">
        <f>IFERROR(H49/G49,"")</f>
        <v/>
      </c>
    </row>
    <row r="50" ht="14.45" customHeight="1" s="433" thickTop="1">
      <c r="B50" s="412" t="inlineStr">
        <is>
          <t>Totals</t>
        </is>
      </c>
      <c r="C50" s="435" t="n"/>
      <c r="D50" s="435" t="n"/>
      <c r="E50" s="357" t="n"/>
      <c r="F50" s="335">
        <f>F23*'Estimator Input'!$C$9</f>
        <v/>
      </c>
      <c r="G50" s="335">
        <f>G23*'Estimator Input'!$C$9</f>
        <v/>
      </c>
      <c r="H50" s="335">
        <f>H23*'Estimator Input'!$C$9</f>
        <v/>
      </c>
      <c r="I50" s="246">
        <f>H50/G50</f>
        <v/>
      </c>
    </row>
    <row r="52" ht="18" customHeight="1" s="433">
      <c r="B52" s="434" t="inlineStr">
        <is>
          <t>SRC IR - Integration Services</t>
        </is>
      </c>
    </row>
    <row r="53">
      <c r="B53" s="436" t="inlineStr">
        <is>
          <t>Description</t>
        </is>
      </c>
      <c r="C53" s="437" t="n"/>
      <c r="D53" s="437" t="n"/>
      <c r="E53" s="432" t="n"/>
      <c r="F53" s="245" t="inlineStr">
        <is>
          <t xml:space="preserve"> Cost</t>
        </is>
      </c>
      <c r="G53" s="245" t="inlineStr">
        <is>
          <t>Revenue</t>
        </is>
      </c>
      <c r="H53" s="245" t="inlineStr">
        <is>
          <t>GP</t>
        </is>
      </c>
      <c r="I53" s="245" t="inlineStr">
        <is>
          <t>GP%</t>
        </is>
      </c>
    </row>
    <row r="54">
      <c r="B54" s="438" t="inlineStr">
        <is>
          <t>Integration Services (Integration, Delivery, CoC)</t>
        </is>
      </c>
      <c r="C54" s="437" t="n"/>
      <c r="D54" s="437" t="n"/>
      <c r="E54" s="432" t="n"/>
      <c r="F54" s="334">
        <f>F27*'Estimator Input'!$C$9</f>
        <v/>
      </c>
      <c r="G54" s="334">
        <f>G27*'Estimator Input'!$C$9</f>
        <v/>
      </c>
      <c r="H54" s="334">
        <f>H27*'Estimator Input'!$C$9</f>
        <v/>
      </c>
      <c r="I54" s="243">
        <f>H54/G54</f>
        <v/>
      </c>
    </row>
    <row r="55" ht="14.45" customHeight="1" s="433" thickBot="1">
      <c r="B55" s="439" t="n"/>
      <c r="C55" s="440" t="n"/>
      <c r="D55" s="440" t="n"/>
      <c r="E55" s="441" t="n"/>
      <c r="F55" s="485" t="n"/>
      <c r="G55" s="485" t="n"/>
      <c r="H55" s="485" t="n"/>
      <c r="I55" s="244" t="n"/>
    </row>
    <row r="56" ht="14.45" customHeight="1" s="433" thickTop="1">
      <c r="B56" s="442" t="inlineStr">
        <is>
          <t>Totals</t>
        </is>
      </c>
      <c r="C56" s="435" t="n"/>
      <c r="D56" s="435" t="n"/>
      <c r="E56" s="443" t="n"/>
      <c r="F56" s="335">
        <f>F29*'Estimator Input'!$C$9</f>
        <v/>
      </c>
      <c r="G56" s="335">
        <f>G29*'Estimator Input'!$C$9</f>
        <v/>
      </c>
      <c r="H56" s="335">
        <f>H29*'Estimator Input'!$C$9</f>
        <v/>
      </c>
      <c r="I56" s="246">
        <f>H56/G56</f>
        <v/>
      </c>
    </row>
  </sheetData>
  <mergeCells count="19">
    <mergeCell ref="B25:I25"/>
    <mergeCell ref="B23:D23"/>
    <mergeCell ref="B13:D13"/>
    <mergeCell ref="B55:E55"/>
    <mergeCell ref="B26:E26"/>
    <mergeCell ref="B52:I52"/>
    <mergeCell ref="B54:E54"/>
    <mergeCell ref="B42:I42"/>
    <mergeCell ref="B40:D40"/>
    <mergeCell ref="B8:I8"/>
    <mergeCell ref="B32:I33"/>
    <mergeCell ref="B27:E27"/>
    <mergeCell ref="B56:E56"/>
    <mergeCell ref="B50:D50"/>
    <mergeCell ref="B15:I15"/>
    <mergeCell ref="B53:E53"/>
    <mergeCell ref="B29:E29"/>
    <mergeCell ref="B28:E28"/>
    <mergeCell ref="B35:I35"/>
  </mergeCell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P64"/>
  <sheetViews>
    <sheetView tabSelected="1" workbookViewId="0">
      <selection activeCell="F40" sqref="F40"/>
    </sheetView>
  </sheetViews>
  <sheetFormatPr baseColWidth="8" defaultColWidth="8.875" defaultRowHeight="14.1"/>
  <cols>
    <col width="27.5" customWidth="1" style="433" min="1" max="1"/>
    <col width="12.625" bestFit="1" customWidth="1" style="414" min="2" max="2"/>
    <col width="23" customWidth="1" style="414" min="3" max="3"/>
    <col width="19.875" bestFit="1" customWidth="1" style="433" min="4" max="4"/>
    <col width="16.625" bestFit="1" customWidth="1" style="433" min="5" max="5"/>
    <col width="16.5" bestFit="1" customWidth="1" style="433" min="6" max="6"/>
    <col width="23" customWidth="1" style="433" min="7" max="7"/>
    <col width="29.125" bestFit="1" customWidth="1" style="486" min="8" max="8"/>
    <col width="21.5" customWidth="1" style="486" min="9" max="9"/>
    <col width="21.625" bestFit="1" customWidth="1" style="486" min="10" max="10"/>
    <col width="16.125" bestFit="1" customWidth="1" style="433" min="11" max="11"/>
    <col width="10.875" bestFit="1" customWidth="1" style="433" min="12" max="12"/>
    <col width="16.125" bestFit="1" customWidth="1" style="433" min="13" max="14"/>
    <col width="15.375" bestFit="1" customWidth="1" style="433" min="15" max="15"/>
    <col width="10.875" bestFit="1" customWidth="1" style="433" min="16" max="16"/>
    <col width="10.875" customWidth="1" style="433" min="17" max="17"/>
    <col width="9.625" bestFit="1" customWidth="1" style="433" min="18" max="18"/>
    <col width="9.875" bestFit="1" customWidth="1" style="433" min="19" max="19"/>
    <col width="17.5" bestFit="1" customWidth="1" style="433" min="20" max="20"/>
    <col width="18.5" bestFit="1" customWidth="1" style="433" min="21" max="21"/>
    <col width="10.875" bestFit="1" customWidth="1" style="433" min="22" max="22"/>
    <col width="12.125" bestFit="1" customWidth="1" style="433" min="25" max="25"/>
  </cols>
  <sheetData>
    <row r="1" ht="14.45" customHeight="1" s="433" thickBot="1">
      <c r="A1" s="391" t="inlineStr">
        <is>
          <t>SKU</t>
        </is>
      </c>
      <c r="B1" s="390" t="inlineStr">
        <is>
          <t>Column2</t>
        </is>
      </c>
      <c r="C1" s="132" t="inlineStr">
        <is>
          <t>Integration</t>
        </is>
      </c>
      <c r="D1" s="133" t="inlineStr">
        <is>
          <t>Delivery</t>
        </is>
      </c>
      <c r="E1" s="133" t="inlineStr">
        <is>
          <t>title 60 months</t>
        </is>
      </c>
      <c r="F1" s="133" t="inlineStr">
        <is>
          <t>CSOW Totals</t>
        </is>
      </c>
      <c r="G1" s="132" t="inlineStr">
        <is>
          <t>Install</t>
        </is>
      </c>
      <c r="H1" s="133" t="inlineStr">
        <is>
          <t>PMO</t>
        </is>
      </c>
      <c r="I1" s="133" t="inlineStr">
        <is>
          <t>Break/Fix</t>
        </is>
      </c>
      <c r="J1" s="133" t="inlineStr">
        <is>
          <t>Call Center</t>
        </is>
      </c>
      <c r="K1" s="134" t="inlineStr">
        <is>
          <t>CSOW</t>
        </is>
      </c>
      <c r="L1" s="415" t="inlineStr">
        <is>
          <t>Quality Check against RFP Pricing Table</t>
        </is>
      </c>
      <c r="M1" s="444" t="n"/>
      <c r="N1" s="444" t="n"/>
      <c r="O1" s="444" t="n"/>
      <c r="P1" s="445" t="n"/>
    </row>
    <row r="2">
      <c r="A2" s="99" t="n"/>
      <c r="B2" s="100" t="inlineStr">
        <is>
          <t>QTY</t>
        </is>
      </c>
      <c r="C2" s="101" t="inlineStr">
        <is>
          <t>Rack/Stack Integration</t>
        </is>
      </c>
      <c r="D2" s="102" t="inlineStr">
        <is>
          <t>Delivery</t>
        </is>
      </c>
      <c r="E2" s="487" t="inlineStr">
        <is>
          <t>title 60 months</t>
        </is>
      </c>
      <c r="F2" s="104" t="inlineStr">
        <is>
          <t>CSOW Totals</t>
        </is>
      </c>
      <c r="G2" s="488" t="n"/>
      <c r="H2" s="106" t="inlineStr">
        <is>
          <t>PMO</t>
        </is>
      </c>
      <c r="I2" s="107" t="inlineStr">
        <is>
          <t>Break/Fix</t>
        </is>
      </c>
      <c r="J2" s="107" t="inlineStr">
        <is>
          <t>CC</t>
        </is>
      </c>
      <c r="K2" s="489" t="n"/>
      <c r="L2" s="426" t="inlineStr">
        <is>
          <t>Sum</t>
        </is>
      </c>
      <c r="M2" s="426" t="inlineStr">
        <is>
          <t>Monthly</t>
        </is>
      </c>
      <c r="N2" s="426" t="inlineStr">
        <is>
          <t>M/QTY</t>
        </is>
      </c>
      <c r="O2" s="426" t="inlineStr">
        <is>
          <t>RFP Total</t>
        </is>
      </c>
      <c r="P2" s="388" t="inlineStr">
        <is>
          <t>Delta</t>
        </is>
      </c>
    </row>
    <row r="3">
      <c r="A3" s="108" t="inlineStr">
        <is>
          <t>GDCH - Compute Expansion Rack</t>
        </is>
      </c>
      <c r="B3" s="109" t="n">
        <v>2</v>
      </c>
      <c r="C3" s="490">
        <f>SUM(190.64*60*B3)</f>
        <v/>
      </c>
      <c r="D3" s="491">
        <f>SUM(121.73*B3*60)</f>
        <v/>
      </c>
      <c r="E3" s="492">
        <f>SUM(46.85*60*B3)</f>
        <v/>
      </c>
      <c r="F3" s="493">
        <f>SUM(C3:E3)</f>
        <v/>
      </c>
      <c r="G3" s="494">
        <f>SUM(130.31*B3*60)</f>
        <v/>
      </c>
      <c r="H3" s="495">
        <f>435.68*60*B3</f>
        <v/>
      </c>
      <c r="I3" s="496">
        <f>55.6*60*B3</f>
        <v/>
      </c>
      <c r="J3" s="496">
        <f>80.0*60*B3</f>
        <v/>
      </c>
      <c r="K3" s="497">
        <f>SUM(Table487[[#This Row],[Install]:[Call Center]])</f>
        <v/>
      </c>
      <c r="L3" s="486">
        <f>SUM(F3,K3)</f>
        <v/>
      </c>
      <c r="M3" s="486">
        <f>L3/60</f>
        <v/>
      </c>
      <c r="N3" s="486">
        <f>M3/B3</f>
        <v/>
      </c>
      <c r="O3" s="498" t="n">
        <v>1060.83</v>
      </c>
      <c r="P3" s="499">
        <f>N3-O3</f>
        <v/>
      </c>
    </row>
    <row r="4">
      <c r="A4" s="108" t="n"/>
      <c r="B4" s="109" t="n">
        <v>0</v>
      </c>
      <c r="C4" s="490">
        <f>SUM(0*60*B4)</f>
        <v/>
      </c>
      <c r="D4" s="491">
        <f>SUM(0*B4*60)</f>
        <v/>
      </c>
      <c r="E4" s="492">
        <f>SUM(0*60*B4)</f>
        <v/>
      </c>
      <c r="F4" s="493">
        <f>SUM(C4:E4)</f>
        <v/>
      </c>
      <c r="G4" s="494">
        <f>SUM(0*B4*60)</f>
        <v/>
      </c>
      <c r="H4" s="495">
        <f>0*60*B4</f>
        <v/>
      </c>
      <c r="I4" s="496">
        <f>0*60*B4</f>
        <v/>
      </c>
      <c r="J4" s="496">
        <f>0*60*B4</f>
        <v/>
      </c>
      <c r="K4" s="497">
        <f>SUM(Table487[[#This Row],[Install]:[Call Center]])</f>
        <v/>
      </c>
      <c r="L4" s="486">
        <f>SUM(F4,K4)</f>
        <v/>
      </c>
      <c r="M4" s="486">
        <f>L4/60</f>
        <v/>
      </c>
      <c r="N4" s="486">
        <f>M4/B4</f>
        <v/>
      </c>
      <c r="O4" s="498">
        <f>0</f>
        <v/>
      </c>
      <c r="P4" s="499">
        <f>N4-O4</f>
        <v/>
      </c>
    </row>
    <row r="5">
      <c r="A5" s="108" t="n"/>
      <c r="B5" s="109" t="n">
        <v>0</v>
      </c>
      <c r="C5" s="490">
        <f>SUM(0*60*B5)</f>
        <v/>
      </c>
      <c r="D5" s="491">
        <f>SUM(0*B5*60)</f>
        <v/>
      </c>
      <c r="E5" s="492">
        <f>SUM(0*60*B5)</f>
        <v/>
      </c>
      <c r="F5" s="493">
        <f>SUM(C5:E5)</f>
        <v/>
      </c>
      <c r="G5" s="494">
        <f>SUM(0*B5*60)</f>
        <v/>
      </c>
      <c r="H5" s="495">
        <f>0*60*B5</f>
        <v/>
      </c>
      <c r="I5" s="496">
        <f>0*60*B5</f>
        <v/>
      </c>
      <c r="J5" s="496">
        <f>0*60*B5</f>
        <v/>
      </c>
      <c r="K5" s="497">
        <f>SUM(Table487[[#This Row],[Install]:[Call Center]])</f>
        <v/>
      </c>
      <c r="L5" s="486">
        <f>SUM(F5,K5)</f>
        <v/>
      </c>
      <c r="M5" s="486">
        <f>L5/60</f>
        <v/>
      </c>
      <c r="N5" s="486">
        <f>M5/B5</f>
        <v/>
      </c>
      <c r="O5" s="498">
        <f>0</f>
        <v/>
      </c>
      <c r="P5" s="499">
        <f>N5-O5</f>
        <v/>
      </c>
    </row>
    <row r="6">
      <c r="A6" s="108" t="n"/>
      <c r="B6" s="109" t="n">
        <v>0</v>
      </c>
      <c r="C6" s="490">
        <f>SUM(0*60*B6)</f>
        <v/>
      </c>
      <c r="D6" s="491">
        <f>SUM(0*B6*60)</f>
        <v/>
      </c>
      <c r="E6" s="492">
        <f>SUM(0*60*B6)</f>
        <v/>
      </c>
      <c r="F6" s="493">
        <f>SUM(C6:E6)</f>
        <v/>
      </c>
      <c r="G6" s="494">
        <f>SUM(0*B6*60)</f>
        <v/>
      </c>
      <c r="H6" s="495">
        <f>0*60*B6</f>
        <v/>
      </c>
      <c r="I6" s="496">
        <f>0*60*B6</f>
        <v/>
      </c>
      <c r="J6" s="496">
        <f>0*60*B6</f>
        <v/>
      </c>
      <c r="K6" s="497">
        <f>SUM(Table487[[#This Row],[Install]:[Call Center]])</f>
        <v/>
      </c>
      <c r="L6" s="486">
        <f>SUM(F6,K6)</f>
        <v/>
      </c>
      <c r="M6" s="486">
        <f>L6/60</f>
        <v/>
      </c>
      <c r="N6" s="486">
        <f>M6/B6</f>
        <v/>
      </c>
      <c r="O6" s="498">
        <f>0</f>
        <v/>
      </c>
      <c r="P6" s="499">
        <f>N6-O6</f>
        <v/>
      </c>
    </row>
    <row r="7">
      <c r="A7" s="108" t="n"/>
      <c r="B7" s="109" t="n">
        <v>0</v>
      </c>
      <c r="C7" s="490">
        <f>SUM(0*60*B7)</f>
        <v/>
      </c>
      <c r="D7" s="491">
        <f>SUM(0*B7*60)</f>
        <v/>
      </c>
      <c r="E7" s="492">
        <f>SUM(0*60*B7)</f>
        <v/>
      </c>
      <c r="F7" s="493">
        <f>SUM(C7:E7)</f>
        <v/>
      </c>
      <c r="G7" s="494">
        <f>SUM(0*B7*60)</f>
        <v/>
      </c>
      <c r="H7" s="495">
        <f>0*60*B7</f>
        <v/>
      </c>
      <c r="I7" s="496">
        <f>0*60*B7</f>
        <v/>
      </c>
      <c r="J7" s="496">
        <f>0*60*B7</f>
        <v/>
      </c>
      <c r="K7" s="497">
        <f>SUM(Table487[[#This Row],[Install]:[Call Center]])</f>
        <v/>
      </c>
      <c r="L7" s="486">
        <f>SUM(F7,K7)</f>
        <v/>
      </c>
      <c r="M7" s="486">
        <f>L7/60</f>
        <v/>
      </c>
      <c r="N7" s="486">
        <f>M7/B7</f>
        <v/>
      </c>
      <c r="O7" s="498">
        <f>0</f>
        <v/>
      </c>
      <c r="P7" s="499">
        <f>N7-O7</f>
        <v/>
      </c>
    </row>
    <row r="8">
      <c r="A8" s="108" t="n"/>
      <c r="B8" s="109" t="n">
        <v>0</v>
      </c>
      <c r="C8" s="490">
        <f>SUM(0*60*B8)</f>
        <v/>
      </c>
      <c r="D8" s="491">
        <f>SUM(0*B8*60)</f>
        <v/>
      </c>
      <c r="E8" s="492">
        <f>SUM(0*60*B8)</f>
        <v/>
      </c>
      <c r="F8" s="493">
        <f>SUM(C8:E8)</f>
        <v/>
      </c>
      <c r="G8" s="494">
        <f>SUM(0*B8*60)</f>
        <v/>
      </c>
      <c r="H8" s="495">
        <f>0*60*B8</f>
        <v/>
      </c>
      <c r="I8" s="496">
        <f>0*60*B8</f>
        <v/>
      </c>
      <c r="J8" s="496">
        <f>0*60*B8</f>
        <v/>
      </c>
      <c r="K8" s="497">
        <f>SUM(Table487[[#This Row],[Install]:[Call Center]])</f>
        <v/>
      </c>
      <c r="L8" s="486">
        <f>SUM(F8,K8)</f>
        <v/>
      </c>
      <c r="M8" s="486">
        <f>L8/60</f>
        <v/>
      </c>
      <c r="N8" s="486">
        <f>M8/B8</f>
        <v/>
      </c>
      <c r="O8" s="498">
        <f>0</f>
        <v/>
      </c>
      <c r="P8" s="499">
        <f>N8-O8</f>
        <v/>
      </c>
    </row>
    <row r="9">
      <c r="A9" s="108" t="n"/>
      <c r="B9" s="109" t="n">
        <v>0</v>
      </c>
      <c r="C9" s="490">
        <f>SUM(0*60*B9)</f>
        <v/>
      </c>
      <c r="D9" s="491">
        <f>SUM(0*B9*60)</f>
        <v/>
      </c>
      <c r="E9" s="492">
        <f>SUM(0*60*B9)</f>
        <v/>
      </c>
      <c r="F9" s="493">
        <f>SUM(C9:E9)</f>
        <v/>
      </c>
      <c r="G9" s="494">
        <f>SUM(0*B9*60)</f>
        <v/>
      </c>
      <c r="H9" s="495">
        <f>0*60*B9</f>
        <v/>
      </c>
      <c r="I9" s="496">
        <f>0*60*B9</f>
        <v/>
      </c>
      <c r="J9" s="496">
        <f>0*60*B9</f>
        <v/>
      </c>
      <c r="K9" s="497">
        <f>SUM(Table487[[#This Row],[Install]:[Call Center]])</f>
        <v/>
      </c>
      <c r="L9" s="486">
        <f>SUM(F9,K9)</f>
        <v/>
      </c>
      <c r="M9" s="486">
        <f>L9/60</f>
        <v/>
      </c>
      <c r="N9" s="486">
        <f>M9/B9</f>
        <v/>
      </c>
      <c r="O9" s="498">
        <f>0</f>
        <v/>
      </c>
      <c r="P9" s="499">
        <f>N9-O9</f>
        <v/>
      </c>
    </row>
    <row r="10">
      <c r="A10" s="108" t="n"/>
      <c r="B10" s="109" t="n">
        <v>0</v>
      </c>
      <c r="C10" s="490">
        <f>SUM(0*60*B10)</f>
        <v/>
      </c>
      <c r="D10" s="491">
        <f>SUM(0*B10*60)</f>
        <v/>
      </c>
      <c r="E10" s="492">
        <f>SUM(0*60*B10)</f>
        <v/>
      </c>
      <c r="F10" s="493">
        <f>SUM(C10:E10)</f>
        <v/>
      </c>
      <c r="G10" s="494">
        <f>SUM(0*B10*60)</f>
        <v/>
      </c>
      <c r="H10" s="495">
        <f>0*60*B10</f>
        <v/>
      </c>
      <c r="I10" s="496">
        <f>0*60*B10</f>
        <v/>
      </c>
      <c r="J10" s="496">
        <f>0*60*B10</f>
        <v/>
      </c>
      <c r="K10" s="497">
        <f>SUM(Table487[[#This Row],[Install]:[Call Center]])</f>
        <v/>
      </c>
      <c r="L10" s="486">
        <f>SUM(F10,K10)</f>
        <v/>
      </c>
      <c r="M10" s="486">
        <f>L10/60</f>
        <v/>
      </c>
      <c r="N10" s="486">
        <f>M10/B10</f>
        <v/>
      </c>
      <c r="O10" s="498">
        <f>0</f>
        <v/>
      </c>
      <c r="P10" s="499">
        <f>N10-O10</f>
        <v/>
      </c>
    </row>
    <row r="11">
      <c r="A11" s="108" t="n"/>
      <c r="B11" s="109" t="n">
        <v>0</v>
      </c>
      <c r="C11" s="490">
        <f>SUM(0*60*B11)</f>
        <v/>
      </c>
      <c r="D11" s="491">
        <f>SUM(0*B11*60)</f>
        <v/>
      </c>
      <c r="E11" s="492">
        <f>SUM(0*60*B11)</f>
        <v/>
      </c>
      <c r="F11" s="493">
        <f>SUM(C11:E11)</f>
        <v/>
      </c>
      <c r="G11" s="494">
        <f>SUM(0*B11*60)</f>
        <v/>
      </c>
      <c r="H11" s="495">
        <f>0*60*B11</f>
        <v/>
      </c>
      <c r="I11" s="496">
        <f>0*60*B11</f>
        <v/>
      </c>
      <c r="J11" s="496">
        <f>0*60*B11</f>
        <v/>
      </c>
      <c r="K11" s="497">
        <f>SUM(Table487[[#This Row],[Install]:[Call Center]])</f>
        <v/>
      </c>
      <c r="L11" s="486">
        <f>SUM(F11,K11)</f>
        <v/>
      </c>
      <c r="M11" s="486">
        <f>L11/60</f>
        <v/>
      </c>
      <c r="N11" s="486">
        <f>M11/B11</f>
        <v/>
      </c>
      <c r="O11" s="498">
        <f>0</f>
        <v/>
      </c>
      <c r="P11" s="499">
        <f>N11-O11</f>
        <v/>
      </c>
    </row>
    <row r="12">
      <c r="A12" s="108" t="n"/>
      <c r="B12" s="109" t="n">
        <v>0</v>
      </c>
      <c r="C12" s="490">
        <f>SUM(0*60*B12)</f>
        <v/>
      </c>
      <c r="D12" s="491">
        <f>SUM(0*B12*60)</f>
        <v/>
      </c>
      <c r="E12" s="492">
        <f>SUM(0*60*B12)</f>
        <v/>
      </c>
      <c r="F12" s="493">
        <f>SUM(C12:E12)</f>
        <v/>
      </c>
      <c r="G12" s="494">
        <f>SUM(0*B12*60)</f>
        <v/>
      </c>
      <c r="H12" s="495">
        <f>0*60*B12</f>
        <v/>
      </c>
      <c r="I12" s="496">
        <f>0*60*B12</f>
        <v/>
      </c>
      <c r="J12" s="496">
        <f>0*60*B12</f>
        <v/>
      </c>
      <c r="K12" s="497">
        <f>SUM(Table487[[#This Row],[Install]:[Call Center]])</f>
        <v/>
      </c>
      <c r="L12" s="486">
        <f>SUM(F12,K12)</f>
        <v/>
      </c>
      <c r="M12" s="486">
        <f>L12/60</f>
        <v/>
      </c>
      <c r="N12" s="486">
        <f>M12/B12</f>
        <v/>
      </c>
      <c r="O12" s="498">
        <f>0</f>
        <v/>
      </c>
      <c r="P12" s="499">
        <f>N12-O12</f>
        <v/>
      </c>
    </row>
    <row r="13">
      <c r="A13" s="108" t="n"/>
      <c r="B13" s="109" t="n">
        <v>0</v>
      </c>
      <c r="C13" s="490">
        <f>SUM(0*60*B13)</f>
        <v/>
      </c>
      <c r="D13" s="491">
        <f>SUM(0*B13*60)</f>
        <v/>
      </c>
      <c r="E13" s="492">
        <f>SUM(0*60*B13)</f>
        <v/>
      </c>
      <c r="F13" s="493">
        <f>SUM(C13:E13)</f>
        <v/>
      </c>
      <c r="G13" s="494">
        <f>SUM(0*B13*60)</f>
        <v/>
      </c>
      <c r="H13" s="495">
        <f>0*60*B13</f>
        <v/>
      </c>
      <c r="I13" s="496">
        <f>0*60*B13</f>
        <v/>
      </c>
      <c r="J13" s="496">
        <f>0*60*B13</f>
        <v/>
      </c>
      <c r="K13" s="497">
        <f>SUM(Table487[[#This Row],[Install]:[Call Center]])</f>
        <v/>
      </c>
      <c r="L13" s="486">
        <f>SUM(F13,K13)</f>
        <v/>
      </c>
      <c r="M13" s="486">
        <f>L13/60</f>
        <v/>
      </c>
      <c r="N13" s="486">
        <f>M13/B13</f>
        <v/>
      </c>
      <c r="O13" s="498">
        <f>0</f>
        <v/>
      </c>
      <c r="P13" s="499">
        <f>N13-O13</f>
        <v/>
      </c>
    </row>
    <row r="14">
      <c r="A14" s="117" t="inlineStr">
        <is>
          <t>WWT Revenue</t>
        </is>
      </c>
      <c r="B14" s="15" t="n"/>
      <c r="C14" s="500">
        <f>SUM(C3:C13)</f>
        <v/>
      </c>
      <c r="D14" s="500">
        <f>SUM(D3:D13)</f>
        <v/>
      </c>
      <c r="E14" s="500">
        <f>SUM(E3:E13)</f>
        <v/>
      </c>
      <c r="F14" s="500">
        <f>SUM(F3:F13)</f>
        <v/>
      </c>
      <c r="G14" s="500">
        <f>SUM(G3:G13)</f>
        <v/>
      </c>
      <c r="H14" s="500">
        <f>SUM(H3:H13)</f>
        <v/>
      </c>
      <c r="I14" s="500">
        <f>SUM(I3:I13)</f>
        <v/>
      </c>
      <c r="J14" s="500">
        <f>SUM(J3:J13)</f>
        <v/>
      </c>
      <c r="K14" s="497">
        <f>SUM(Table487[[#This Row],[Install]:[Call Center]])</f>
        <v/>
      </c>
      <c r="L14" s="486" t="n"/>
      <c r="M14" s="486" t="n"/>
      <c r="N14" s="486" t="n"/>
    </row>
    <row r="15" ht="14.45" customHeight="1" s="433" thickBot="1">
      <c r="A15" s="386" t="n"/>
      <c r="B15" s="139" t="n"/>
      <c r="C15" s="416" t="inlineStr">
        <is>
          <t>Monthly</t>
        </is>
      </c>
      <c r="D15" s="446" t="n"/>
      <c r="E15" s="446" t="n"/>
      <c r="F15" s="447" t="n"/>
      <c r="G15" s="416" t="inlineStr">
        <is>
          <t>Monthly</t>
        </is>
      </c>
      <c r="H15" s="446" t="n"/>
      <c r="I15" s="446" t="n"/>
      <c r="J15" s="447" t="n"/>
      <c r="K15" s="501" t="n"/>
      <c r="L15" s="486" t="n"/>
    </row>
    <row r="16">
      <c r="A16" s="120" t="inlineStr">
        <is>
          <t>Column1</t>
        </is>
      </c>
      <c r="B16" s="121" t="inlineStr">
        <is>
          <t>Column2</t>
        </is>
      </c>
      <c r="C16" s="132" t="inlineStr">
        <is>
          <t>Integration</t>
        </is>
      </c>
      <c r="D16" s="133" t="inlineStr">
        <is>
          <t>Delivery</t>
        </is>
      </c>
      <c r="E16" s="133" t="inlineStr">
        <is>
          <t>title 60 months</t>
        </is>
      </c>
      <c r="F16" s="160" t="inlineStr">
        <is>
          <t>CSOW</t>
        </is>
      </c>
      <c r="G16" s="132" t="inlineStr">
        <is>
          <t>Install</t>
        </is>
      </c>
      <c r="H16" s="133" t="inlineStr">
        <is>
          <t>PMO</t>
        </is>
      </c>
      <c r="I16" s="133" t="inlineStr">
        <is>
          <t>Break/Fix</t>
        </is>
      </c>
      <c r="J16" s="133" t="inlineStr">
        <is>
          <t>Call Center</t>
        </is>
      </c>
      <c r="K16" s="161" t="inlineStr">
        <is>
          <t>CSOW2</t>
        </is>
      </c>
    </row>
    <row r="17">
      <c r="A17" s="108" t="inlineStr">
        <is>
          <t>GDCH - Compute Expansion Rack</t>
        </is>
      </c>
      <c r="B17" s="109" t="n">
        <v>2</v>
      </c>
      <c r="C17" s="502">
        <f>C3/60</f>
        <v/>
      </c>
      <c r="D17" s="491">
        <f>D3/60</f>
        <v/>
      </c>
      <c r="E17" s="492">
        <f>E3/60</f>
        <v/>
      </c>
      <c r="F17" s="493">
        <f>SUM(C17:E17)</f>
        <v/>
      </c>
      <c r="G17" s="503">
        <f>G3/60</f>
        <v/>
      </c>
      <c r="H17" s="504">
        <f>H3/60</f>
        <v/>
      </c>
      <c r="I17" s="505">
        <f>I3/60</f>
        <v/>
      </c>
      <c r="J17" s="506">
        <f>J3/60</f>
        <v/>
      </c>
      <c r="K17" s="493">
        <f>SUM(Table2910[[#This Row],[Install]:[Call Center]])</f>
        <v/>
      </c>
    </row>
    <row r="18">
      <c r="A18" s="108" t="n"/>
      <c r="B18" s="109" t="n">
        <v>0</v>
      </c>
      <c r="C18" s="502">
        <f>C4/60</f>
        <v/>
      </c>
      <c r="D18" s="491">
        <f>D4/60</f>
        <v/>
      </c>
      <c r="E18" s="492">
        <f>E4/60</f>
        <v/>
      </c>
      <c r="F18" s="493">
        <f>SUM(C18:E18)</f>
        <v/>
      </c>
      <c r="G18" s="507">
        <f>G4/60</f>
        <v/>
      </c>
      <c r="H18" s="508">
        <f>H4/60</f>
        <v/>
      </c>
      <c r="I18" s="509">
        <f>I4/60</f>
        <v/>
      </c>
      <c r="J18" s="496">
        <f>J4/60</f>
        <v/>
      </c>
      <c r="K18" s="493">
        <f>SUM(Table2910[[#This Row],[Install]:[Call Center]])</f>
        <v/>
      </c>
    </row>
    <row r="19">
      <c r="A19" s="108" t="n"/>
      <c r="B19" s="109" t="n">
        <v>0</v>
      </c>
      <c r="C19" s="502">
        <f>C5/60</f>
        <v/>
      </c>
      <c r="D19" s="491">
        <f>D5/60</f>
        <v/>
      </c>
      <c r="E19" s="492">
        <f>E5/60</f>
        <v/>
      </c>
      <c r="F19" s="493">
        <f>SUM(C19:E19)</f>
        <v/>
      </c>
      <c r="G19" s="507">
        <f>G5/60</f>
        <v/>
      </c>
      <c r="H19" s="508">
        <f>H5/60</f>
        <v/>
      </c>
      <c r="I19" s="509">
        <f>I5/60</f>
        <v/>
      </c>
      <c r="J19" s="496">
        <f>J5/60</f>
        <v/>
      </c>
      <c r="K19" s="493">
        <f>SUM(Table2910[[#This Row],[Install]:[Call Center]])</f>
        <v/>
      </c>
    </row>
    <row r="20">
      <c r="A20" s="108" t="n"/>
      <c r="B20" s="109" t="n">
        <v>0</v>
      </c>
      <c r="C20" s="502">
        <f>C6/60</f>
        <v/>
      </c>
      <c r="D20" s="491">
        <f>D6/60</f>
        <v/>
      </c>
      <c r="E20" s="492">
        <f>E6/60</f>
        <v/>
      </c>
      <c r="F20" s="493">
        <f>SUM(C20:E20)</f>
        <v/>
      </c>
      <c r="G20" s="507">
        <f>G6/60</f>
        <v/>
      </c>
      <c r="H20" s="508">
        <f>H6/60</f>
        <v/>
      </c>
      <c r="I20" s="509">
        <f>I6/60</f>
        <v/>
      </c>
      <c r="J20" s="496">
        <f>J6/60</f>
        <v/>
      </c>
      <c r="K20" s="493">
        <f>SUM(Table2910[[#This Row],[Install]:[Call Center]])</f>
        <v/>
      </c>
    </row>
    <row r="21">
      <c r="A21" s="108" t="n"/>
      <c r="B21" s="109" t="n">
        <v>0</v>
      </c>
      <c r="C21" s="502">
        <f>C7/60</f>
        <v/>
      </c>
      <c r="D21" s="491">
        <f>D7/60</f>
        <v/>
      </c>
      <c r="E21" s="492">
        <f>E7/60</f>
        <v/>
      </c>
      <c r="F21" s="493">
        <f>SUM(C21:E21)</f>
        <v/>
      </c>
      <c r="G21" s="507">
        <f>G7/60</f>
        <v/>
      </c>
      <c r="H21" s="508">
        <f>H7/60</f>
        <v/>
      </c>
      <c r="I21" s="509">
        <f>I7/60</f>
        <v/>
      </c>
      <c r="J21" s="496">
        <f>J7/60</f>
        <v/>
      </c>
      <c r="K21" s="493">
        <f>SUM(Table2910[[#This Row],[Install]:[Call Center]])</f>
        <v/>
      </c>
    </row>
    <row r="22">
      <c r="A22" s="108" t="n"/>
      <c r="B22" s="109" t="n">
        <v>0</v>
      </c>
      <c r="C22" s="502">
        <f>C8/60</f>
        <v/>
      </c>
      <c r="D22" s="491">
        <f>D8/60</f>
        <v/>
      </c>
      <c r="E22" s="492">
        <f>E8/60</f>
        <v/>
      </c>
      <c r="F22" s="493">
        <f>SUM(C22:E22)</f>
        <v/>
      </c>
      <c r="G22" s="507">
        <f>G8/60</f>
        <v/>
      </c>
      <c r="H22" s="508">
        <f>H8/60</f>
        <v/>
      </c>
      <c r="I22" s="509">
        <f>I8/60</f>
        <v/>
      </c>
      <c r="J22" s="496">
        <f>J8/60</f>
        <v/>
      </c>
      <c r="K22" s="493">
        <f>SUM(Table2910[[#This Row],[Install]:[Call Center]])</f>
        <v/>
      </c>
    </row>
    <row r="23">
      <c r="A23" s="108" t="n"/>
      <c r="B23" s="109" t="n">
        <v>0</v>
      </c>
      <c r="C23" s="502">
        <f>C9/60</f>
        <v/>
      </c>
      <c r="D23" s="491">
        <f>D9/60</f>
        <v/>
      </c>
      <c r="E23" s="492">
        <f>E9/60</f>
        <v/>
      </c>
      <c r="F23" s="493">
        <f>SUM(C23:E23)</f>
        <v/>
      </c>
      <c r="G23" s="507">
        <f>G9/60</f>
        <v/>
      </c>
      <c r="H23" s="508">
        <f>H9/60</f>
        <v/>
      </c>
      <c r="I23" s="509">
        <f>I9/60</f>
        <v/>
      </c>
      <c r="J23" s="496">
        <f>J9/60</f>
        <v/>
      </c>
      <c r="K23" s="493">
        <f>SUM(Table2910[[#This Row],[Install]:[Call Center]])</f>
        <v/>
      </c>
    </row>
    <row r="24">
      <c r="A24" s="108" t="n"/>
      <c r="B24" s="109" t="n">
        <v>0</v>
      </c>
      <c r="C24" s="502">
        <f>C10/60</f>
        <v/>
      </c>
      <c r="D24" s="491">
        <f>D10/60</f>
        <v/>
      </c>
      <c r="E24" s="492">
        <f>E10/60</f>
        <v/>
      </c>
      <c r="F24" s="493">
        <f>SUM(C24:E24)</f>
        <v/>
      </c>
      <c r="G24" s="507">
        <f>G10/60</f>
        <v/>
      </c>
      <c r="H24" s="508">
        <f>H10/60</f>
        <v/>
      </c>
      <c r="I24" s="509">
        <f>I10/60</f>
        <v/>
      </c>
      <c r="J24" s="496">
        <f>J10/60</f>
        <v/>
      </c>
      <c r="K24" s="493">
        <f>SUM(Table2910[[#This Row],[Install]:[Call Center]])</f>
        <v/>
      </c>
    </row>
    <row r="25">
      <c r="A25" s="108" t="n"/>
      <c r="B25" s="109" t="n">
        <v>0</v>
      </c>
      <c r="C25" s="502">
        <f>C11/60</f>
        <v/>
      </c>
      <c r="D25" s="491">
        <f>D11/60</f>
        <v/>
      </c>
      <c r="E25" s="492">
        <f>E11/60</f>
        <v/>
      </c>
      <c r="F25" s="493">
        <f>SUM(C25:E25)</f>
        <v/>
      </c>
      <c r="G25" s="507">
        <f>G11/60</f>
        <v/>
      </c>
      <c r="H25" s="508">
        <f>H11/60</f>
        <v/>
      </c>
      <c r="I25" s="509">
        <f>I11/60</f>
        <v/>
      </c>
      <c r="J25" s="496">
        <f>J11/60</f>
        <v/>
      </c>
      <c r="K25" s="493">
        <f>SUM(Table2910[[#This Row],[Install]:[Call Center]])</f>
        <v/>
      </c>
    </row>
    <row r="26">
      <c r="A26" s="108" t="n"/>
      <c r="B26" s="109" t="n">
        <v>0</v>
      </c>
      <c r="C26" s="502">
        <f>C12/60</f>
        <v/>
      </c>
      <c r="D26" s="491">
        <f>D12/60</f>
        <v/>
      </c>
      <c r="E26" s="492">
        <f>E12/60</f>
        <v/>
      </c>
      <c r="F26" s="493">
        <f>SUM(C26:E26)</f>
        <v/>
      </c>
      <c r="G26" s="507">
        <f>G12/60</f>
        <v/>
      </c>
      <c r="H26" s="508">
        <f>H12/60</f>
        <v/>
      </c>
      <c r="I26" s="509">
        <f>I12/60</f>
        <v/>
      </c>
      <c r="J26" s="496">
        <f>J12/60</f>
        <v/>
      </c>
      <c r="K26" s="493">
        <f>SUM(Table2910[[#This Row],[Install]:[Call Center]])</f>
        <v/>
      </c>
    </row>
    <row r="27">
      <c r="A27" s="108" t="n"/>
      <c r="B27" s="109" t="n">
        <v>0</v>
      </c>
      <c r="C27" s="502">
        <f>C13/60</f>
        <v/>
      </c>
      <c r="D27" s="491">
        <f>D13/60</f>
        <v/>
      </c>
      <c r="E27" s="492">
        <f>E13/60</f>
        <v/>
      </c>
      <c r="F27" s="493">
        <f>SUM(C27:E27)</f>
        <v/>
      </c>
      <c r="G27" s="507">
        <f>G13/60</f>
        <v/>
      </c>
      <c r="H27" s="508">
        <f>H13/60</f>
        <v/>
      </c>
      <c r="I27" s="509">
        <f>I13/60</f>
        <v/>
      </c>
      <c r="J27" s="496">
        <f>J13/60</f>
        <v/>
      </c>
      <c r="K27" s="493">
        <f>SUM(Table2910[[#This Row],[Install]:[Call Center]])</f>
        <v/>
      </c>
    </row>
    <row r="28" ht="14.45" customHeight="1" s="433" thickBot="1">
      <c r="A28" s="108" t="n"/>
      <c r="B28" s="109" t="n"/>
      <c r="C28" s="502">
        <f>SUM(Table2910[Integration])</f>
        <v/>
      </c>
      <c r="D28" s="510">
        <f>SUBTOTAL(109,Table2910[Delivery])</f>
        <v/>
      </c>
      <c r="E28" s="511">
        <f>SUBTOTAL(109,Table2910[title 60 months])</f>
        <v/>
      </c>
      <c r="F28" s="497">
        <f>SUBTOTAL(109,Table2910[CSOW])</f>
        <v/>
      </c>
      <c r="G28" s="512">
        <f>SUBTOTAL(109,Table2910[Install])</f>
        <v/>
      </c>
      <c r="H28" s="513">
        <f>SUBTOTAL(109,Table2910[PMO])</f>
        <v/>
      </c>
      <c r="I28" s="514">
        <f>SUBTOTAL(109,Table2910[Break/Fix])</f>
        <v/>
      </c>
      <c r="J28" s="515">
        <f>SUBTOTAL(109,Table2910[Call Center])</f>
        <v/>
      </c>
      <c r="K28" s="497">
        <f>SUBTOTAL(109,Table2910[CSOW2])</f>
        <v/>
      </c>
      <c r="L28" s="422" t="n"/>
      <c r="M28" s="422" t="n"/>
      <c r="N28" s="422" t="n"/>
      <c r="O28" s="422" t="n"/>
    </row>
    <row r="29" ht="14.45" customHeight="1" s="433" thickBot="1">
      <c r="A29" s="378" t="n"/>
      <c r="B29" s="377" t="inlineStr">
        <is>
          <t>SOW Total</t>
        </is>
      </c>
      <c r="C29" s="377" t="n"/>
      <c r="D29" s="516">
        <f>SUM(C14:E14,G14:J14)</f>
        <v/>
      </c>
      <c r="H29" s="486" t="n"/>
      <c r="I29" s="486" t="n"/>
      <c r="J29" s="486" t="n"/>
    </row>
    <row r="30" ht="14.45" customHeight="1" s="433" thickBot="1">
      <c r="B30" s="414" t="n"/>
      <c r="C30" s="414" t="n"/>
      <c r="E30" s="172" t="inlineStr">
        <is>
          <t>Monthly SOW Total</t>
        </is>
      </c>
      <c r="F30" s="517">
        <f>SUM(F28,K28)</f>
        <v/>
      </c>
      <c r="H30" s="486" t="n"/>
      <c r="I30" s="486" t="n"/>
      <c r="J30" s="518" t="inlineStr">
        <is>
          <t>Day2 Managed Service &amp; PMO</t>
        </is>
      </c>
      <c r="K30" s="519">
        <f>SUM(H20:J20)</f>
        <v/>
      </c>
    </row>
    <row r="31" ht="14.45" customHeight="1" s="433" thickBot="1">
      <c r="A31" s="413" t="inlineStr">
        <is>
          <t>WWT Internal - Integration Cost</t>
        </is>
      </c>
      <c r="E31" s="172" t="inlineStr">
        <is>
          <t>Estimated VAT (Mo.)</t>
        </is>
      </c>
      <c r="F31" s="517">
        <f>L25</f>
        <v/>
      </c>
      <c r="H31" s="486" t="n"/>
      <c r="I31" s="486" t="n"/>
      <c r="J31" s="486" t="n"/>
    </row>
    <row r="32" ht="14.45" customHeight="1" s="433" thickBot="1">
      <c r="A32" s="448" t="inlineStr">
        <is>
          <t>SKU</t>
        </is>
      </c>
      <c r="B32" s="448" t="inlineStr">
        <is>
          <t>Qty</t>
        </is>
      </c>
      <c r="C32" s="448" t="inlineStr">
        <is>
          <t>Integration Cost</t>
        </is>
      </c>
      <c r="E32" s="172" t="inlineStr">
        <is>
          <t>total vat</t>
        </is>
      </c>
      <c r="F32" s="517">
        <f>L26</f>
        <v/>
      </c>
      <c r="H32" s="486" t="n"/>
      <c r="I32" s="486" t="n"/>
      <c r="J32" s="486" t="n"/>
    </row>
    <row r="33">
      <c r="A33" s="108" t="inlineStr">
        <is>
          <t>GDCH - Compute Expansion Rack</t>
        </is>
      </c>
      <c r="B33" s="109" t="n">
        <v>2</v>
      </c>
      <c r="C33" s="520">
        <f>3414.4*B33</f>
        <v/>
      </c>
      <c r="E33" s="521" t="n"/>
      <c r="H33" s="486" t="n"/>
    </row>
    <row r="34">
      <c r="A34" s="108" t="n"/>
      <c r="B34" s="109" t="n">
        <v>0</v>
      </c>
      <c r="C34" s="520">
        <f>0*B34</f>
        <v/>
      </c>
      <c r="E34" s="521" t="n"/>
      <c r="H34" s="486" t="n"/>
    </row>
    <row r="35">
      <c r="A35" s="108" t="n"/>
      <c r="B35" s="109" t="n">
        <v>0</v>
      </c>
      <c r="C35" s="520">
        <f>0*B35</f>
        <v/>
      </c>
      <c r="E35" s="521" t="n"/>
      <c r="H35" s="486" t="n"/>
    </row>
    <row r="36">
      <c r="A36" s="108" t="n"/>
      <c r="B36" s="109" t="n">
        <v>0</v>
      </c>
      <c r="C36" s="520">
        <f>0*B36</f>
        <v/>
      </c>
      <c r="E36" s="521" t="n"/>
      <c r="H36" s="486" t="n"/>
    </row>
    <row r="37">
      <c r="A37" s="108" t="n"/>
      <c r="B37" s="109" t="n">
        <v>0</v>
      </c>
      <c r="C37" s="520">
        <f>0*B37</f>
        <v/>
      </c>
      <c r="E37" s="521" t="n"/>
      <c r="H37" s="486" t="n"/>
    </row>
    <row r="38">
      <c r="A38" s="108" t="n"/>
      <c r="B38" s="109" t="n">
        <v>0</v>
      </c>
      <c r="C38" s="520">
        <f>0*B38</f>
        <v/>
      </c>
      <c r="E38" s="521" t="n"/>
      <c r="H38" s="486" t="n"/>
    </row>
    <row r="39">
      <c r="A39" s="108" t="n"/>
      <c r="B39" s="109" t="n">
        <v>0</v>
      </c>
      <c r="C39" s="520">
        <f>0*B39</f>
        <v/>
      </c>
      <c r="E39" s="521" t="n"/>
      <c r="H39" s="486" t="n"/>
    </row>
    <row r="40">
      <c r="A40" s="108" t="n"/>
      <c r="B40" s="109" t="n">
        <v>0</v>
      </c>
      <c r="C40" s="520">
        <f>0*B40</f>
        <v/>
      </c>
      <c r="E40" s="521" t="n"/>
      <c r="H40" s="486" t="n"/>
    </row>
    <row r="41">
      <c r="A41" s="108" t="n"/>
      <c r="B41" s="109" t="n">
        <v>0</v>
      </c>
      <c r="C41" s="520">
        <f>0*B41</f>
        <v/>
      </c>
      <c r="E41" s="521" t="n"/>
      <c r="H41" s="486" t="n"/>
    </row>
    <row r="42">
      <c r="A42" s="108" t="n"/>
      <c r="B42" s="109" t="n">
        <v>0</v>
      </c>
      <c r="C42" s="520">
        <f>0*B42</f>
        <v/>
      </c>
      <c r="E42" s="521" t="n"/>
      <c r="H42" s="486" t="n"/>
    </row>
    <row r="43" ht="14.45" customHeight="1" s="433" thickBot="1">
      <c r="A43" s="108" t="n"/>
      <c r="B43" s="109" t="n">
        <v>0</v>
      </c>
      <c r="C43" s="520">
        <f>0*B43</f>
        <v/>
      </c>
      <c r="E43" s="521" t="n"/>
      <c r="H43" s="486" t="n"/>
    </row>
    <row r="44">
      <c r="A44" s="108" t="n"/>
      <c r="B44" s="374" t="inlineStr">
        <is>
          <t>Total</t>
        </is>
      </c>
      <c r="C44" s="522">
        <f>SUBTOTAL(109,C33:C43)</f>
        <v/>
      </c>
      <c r="G44" s="523" t="inlineStr">
        <is>
          <t>Partner(s) Total Revenue</t>
        </is>
      </c>
      <c r="H44" s="486" t="n"/>
    </row>
    <row r="45" ht="14.45" customHeight="1" s="433" thickBot="1">
      <c r="B45" s="414" t="n"/>
      <c r="C45" s="414" t="n"/>
      <c r="G45" s="524">
        <f>SUM(G14,I14:J14)</f>
        <v/>
      </c>
      <c r="H45" s="486" t="n"/>
    </row>
    <row r="46">
      <c r="A46" s="417" t="inlineStr">
        <is>
          <t>Partner Cost</t>
        </is>
      </c>
      <c r="B46" s="448" t="n"/>
      <c r="C46" s="448" t="n"/>
      <c r="D46" s="448" t="n"/>
      <c r="E46" s="448" t="n"/>
      <c r="F46" t="inlineStr">
        <is>
          <t>Monthly</t>
        </is>
      </c>
      <c r="H46" s="486" t="n"/>
    </row>
    <row r="47">
      <c r="A47" s="371" t="inlineStr">
        <is>
          <t>SKU</t>
        </is>
      </c>
      <c r="B47" s="17" t="inlineStr">
        <is>
          <t>qty</t>
        </is>
      </c>
      <c r="C47" s="525" t="inlineStr">
        <is>
          <t xml:space="preserve">Install </t>
        </is>
      </c>
      <c r="D47" s="141" t="inlineStr">
        <is>
          <t>break fix</t>
        </is>
      </c>
      <c r="E47" s="135" t="inlineStr">
        <is>
          <t>call center</t>
        </is>
      </c>
      <c r="F47" s="162" t="inlineStr">
        <is>
          <t>Break fix2</t>
        </is>
      </c>
      <c r="G47" s="448" t="inlineStr">
        <is>
          <t>call center2</t>
        </is>
      </c>
      <c r="H47" s="448" t="inlineStr">
        <is>
          <t>Break/Fix &amp; Call Center Total</t>
        </is>
      </c>
    </row>
    <row r="48">
      <c r="A48" s="108" t="inlineStr">
        <is>
          <t>GDCH - Compute Expansion Rack</t>
        </is>
      </c>
      <c r="B48" s="109" t="n">
        <v>2</v>
      </c>
      <c r="C48" s="526">
        <f>5863.89*B48</f>
        <v/>
      </c>
      <c r="D48" s="527">
        <f>41.7*B48*60</f>
        <v/>
      </c>
      <c r="E48" s="528">
        <f>60.0*B48*60</f>
        <v/>
      </c>
      <c r="F48" s="486">
        <f>D48/60</f>
        <v/>
      </c>
      <c r="G48" s="486">
        <f>E48/60</f>
        <v/>
      </c>
      <c r="H48" s="529">
        <f>SUM(Table371214[[#This Row],[break fix]:[call center]])</f>
        <v/>
      </c>
    </row>
    <row r="49">
      <c r="A49" s="108" t="n"/>
      <c r="B49" s="109" t="n">
        <v>0</v>
      </c>
      <c r="C49" s="526">
        <f>0*B49</f>
        <v/>
      </c>
      <c r="D49" s="527">
        <f>0*B49*60</f>
        <v/>
      </c>
      <c r="E49" s="528">
        <f>0*B49*60</f>
        <v/>
      </c>
      <c r="F49" s="486">
        <f>D49/60</f>
        <v/>
      </c>
      <c r="G49" s="486">
        <f>E49/60</f>
        <v/>
      </c>
      <c r="H49" s="529">
        <f>SUM(Table371214[[#This Row],[break fix]:[call center]])</f>
        <v/>
      </c>
    </row>
    <row r="50">
      <c r="A50" s="108" t="n"/>
      <c r="B50" s="109" t="n">
        <v>0</v>
      </c>
      <c r="C50" s="526">
        <f>0*B50</f>
        <v/>
      </c>
      <c r="D50" s="527">
        <f>0*B50*60</f>
        <v/>
      </c>
      <c r="E50" s="528">
        <f>0*B50*60</f>
        <v/>
      </c>
      <c r="F50" s="486">
        <f>D50/60</f>
        <v/>
      </c>
      <c r="G50" s="486">
        <f>E50/60</f>
        <v/>
      </c>
      <c r="H50" s="529">
        <f>SUM(Table371214[[#This Row],[break fix]:[call center]])</f>
        <v/>
      </c>
    </row>
    <row r="51">
      <c r="A51" s="108" t="n"/>
      <c r="B51" s="109" t="n">
        <v>0</v>
      </c>
      <c r="C51" s="526">
        <f>0*B51</f>
        <v/>
      </c>
      <c r="D51" s="527">
        <f>0*B51*60</f>
        <v/>
      </c>
      <c r="E51" s="528">
        <f>0*B51*60</f>
        <v/>
      </c>
      <c r="F51" s="486">
        <f>D51/60</f>
        <v/>
      </c>
      <c r="G51" s="486">
        <f>E51/60</f>
        <v/>
      </c>
      <c r="H51" s="529">
        <f>SUM(Table371214[[#This Row],[break fix]:[call center]])</f>
        <v/>
      </c>
    </row>
    <row r="52">
      <c r="A52" s="108" t="n"/>
      <c r="B52" s="109" t="n">
        <v>0</v>
      </c>
      <c r="C52" s="526">
        <f>0*B52</f>
        <v/>
      </c>
      <c r="D52" s="527">
        <f>0*B52*60</f>
        <v/>
      </c>
      <c r="E52" s="528">
        <f>0*B52*60</f>
        <v/>
      </c>
      <c r="F52" s="486">
        <f>D52/60</f>
        <v/>
      </c>
      <c r="G52" s="486">
        <f>E52/60</f>
        <v/>
      </c>
      <c r="H52" s="529">
        <f>SUM(Table371214[[#This Row],[break fix]:[call center]])</f>
        <v/>
      </c>
    </row>
    <row r="53">
      <c r="A53" s="108" t="n"/>
      <c r="B53" s="109" t="n">
        <v>0</v>
      </c>
      <c r="C53" s="526">
        <f>0*B53</f>
        <v/>
      </c>
      <c r="D53" s="527">
        <f>0*B53*60</f>
        <v/>
      </c>
      <c r="E53" s="528">
        <f>0*B53*60</f>
        <v/>
      </c>
      <c r="F53" s="486">
        <f>D53/60</f>
        <v/>
      </c>
      <c r="G53" s="486">
        <f>E53/60</f>
        <v/>
      </c>
      <c r="H53" s="529">
        <f>SUM(Table371214[[#This Row],[break fix]:[call center]])</f>
        <v/>
      </c>
    </row>
    <row r="54">
      <c r="A54" s="108" t="n"/>
      <c r="B54" s="109" t="n">
        <v>0</v>
      </c>
      <c r="C54" s="526">
        <f>0*B54</f>
        <v/>
      </c>
      <c r="D54" s="527">
        <f>0*B54*60</f>
        <v/>
      </c>
      <c r="E54" s="528">
        <f>0*B54*60</f>
        <v/>
      </c>
      <c r="F54" s="486">
        <f>D54/60</f>
        <v/>
      </c>
      <c r="G54" s="486">
        <f>E54/60</f>
        <v/>
      </c>
      <c r="H54" s="529">
        <f>SUM(Table371214[[#This Row],[break fix]:[call center]])</f>
        <v/>
      </c>
    </row>
    <row r="55">
      <c r="A55" s="108" t="n"/>
      <c r="B55" s="109" t="n">
        <v>0</v>
      </c>
      <c r="C55" s="526">
        <f>0*B55</f>
        <v/>
      </c>
      <c r="D55" s="527">
        <f>0*B55*60</f>
        <v/>
      </c>
      <c r="E55" s="528">
        <f>0*B55*60</f>
        <v/>
      </c>
      <c r="F55" s="486">
        <f>D55/60</f>
        <v/>
      </c>
      <c r="G55" s="486">
        <f>E55/60</f>
        <v/>
      </c>
      <c r="H55" s="529">
        <f>SUM(Table371214[[#This Row],[break fix]:[call center]])</f>
        <v/>
      </c>
    </row>
    <row r="56">
      <c r="A56" s="108" t="n"/>
      <c r="B56" s="109" t="n">
        <v>0</v>
      </c>
      <c r="C56" s="526">
        <f>0*B56</f>
        <v/>
      </c>
      <c r="D56" s="527">
        <f>0*B56*60</f>
        <v/>
      </c>
      <c r="E56" s="528">
        <f>0*B56*60</f>
        <v/>
      </c>
      <c r="F56" s="486">
        <f>D56/60</f>
        <v/>
      </c>
      <c r="G56" s="486">
        <f>E56/60</f>
        <v/>
      </c>
      <c r="H56" s="529">
        <f>SUM(Table371214[[#This Row],[break fix]:[call center]])</f>
        <v/>
      </c>
    </row>
    <row r="57">
      <c r="A57" s="108" t="n"/>
      <c r="B57" s="109" t="n">
        <v>0</v>
      </c>
      <c r="C57" s="526">
        <f>0*B57</f>
        <v/>
      </c>
      <c r="D57" s="527">
        <f>0*B57*60</f>
        <v/>
      </c>
      <c r="E57" s="528">
        <f>0*B57*60</f>
        <v/>
      </c>
      <c r="F57" s="486">
        <f>D57/60</f>
        <v/>
      </c>
      <c r="G57" s="486">
        <f>E57/60</f>
        <v/>
      </c>
      <c r="H57" s="529">
        <f>SUM(Table371214[[#This Row],[break fix]:[call center]])</f>
        <v/>
      </c>
    </row>
    <row r="58">
      <c r="A58" s="108" t="n"/>
      <c r="B58" s="109" t="n">
        <v>0</v>
      </c>
      <c r="C58" s="526">
        <f>0*B58</f>
        <v/>
      </c>
      <c r="D58" s="527">
        <f>0*B58*60</f>
        <v/>
      </c>
      <c r="E58" s="528">
        <f>0*B58*60</f>
        <v/>
      </c>
      <c r="F58" s="486">
        <f>D58/60</f>
        <v/>
      </c>
      <c r="G58" s="486">
        <f>E58/60</f>
        <v/>
      </c>
      <c r="H58" s="529">
        <f>SUM(Table371214[[#This Row],[break fix]:[call center]])</f>
        <v/>
      </c>
    </row>
    <row r="59">
      <c r="A59" s="369" t="n"/>
      <c r="B59" s="109" t="inlineStr">
        <is>
          <t>Totals</t>
        </is>
      </c>
      <c r="C59" s="530" t="n"/>
      <c r="D59" s="531" t="n"/>
      <c r="E59" s="532" t="n"/>
      <c r="G59" s="486" t="n"/>
      <c r="H59" s="486" t="n"/>
    </row>
    <row r="60">
      <c r="A60" s="367" t="n"/>
      <c r="B60" s="109" t="n"/>
      <c r="C60" s="533">
        <f>SUBTOTAL(109,C48:C59)</f>
        <v/>
      </c>
      <c r="D60" s="533">
        <f>SUBTOTAL(109,D48:D59)</f>
        <v/>
      </c>
      <c r="E60" s="533">
        <f>SUBTOTAL(109,E48:E59)</f>
        <v/>
      </c>
      <c r="G60" s="486">
        <f>SUM(G48:G58)</f>
        <v/>
      </c>
      <c r="H60" s="486" t="n"/>
    </row>
    <row r="61" ht="14.45" customHeight="1" s="433" thickBot="1">
      <c r="B61" s="414" t="n"/>
      <c r="C61" s="414" t="n"/>
      <c r="H61" s="486" t="n"/>
    </row>
    <row r="62" ht="14.45" customHeight="1" s="433" thickBot="1">
      <c r="A62" s="365" t="inlineStr">
        <is>
          <t>PSOW Total</t>
        </is>
      </c>
      <c r="B62" s="534">
        <f>SUM(C60:E60)</f>
        <v/>
      </c>
      <c r="C62" s="414" t="n"/>
      <c r="D62" s="365" t="inlineStr">
        <is>
          <t>PSOW Monthly Invoice</t>
        </is>
      </c>
      <c r="E62" s="519">
        <f>SUM(D60:E60)/60</f>
        <v/>
      </c>
      <c r="H62" s="486" t="n"/>
    </row>
    <row r="63">
      <c r="A63" t="inlineStr">
        <is>
          <t>travel fee</t>
        </is>
      </c>
      <c r="B63" s="414" t="n">
        <v>0</v>
      </c>
      <c r="C63" s="414" t="n"/>
      <c r="H63" s="486" t="n"/>
    </row>
    <row r="64">
      <c r="B64" s="486">
        <f>SUM(B62:B63)</f>
        <v/>
      </c>
      <c r="C64" s="414" t="n"/>
      <c r="H64" s="486" t="n"/>
    </row>
  </sheetData>
  <mergeCells count="5">
    <mergeCell ref="A31:C31"/>
    <mergeCell ref="L1:P1"/>
    <mergeCell ref="C15:F15"/>
    <mergeCell ref="A46:E46"/>
    <mergeCell ref="G15:J15"/>
  </mergeCells>
  <pageMargins left="0.7" right="0.7" top="0.75" bottom="0.75" header="0.3" footer="0.3"/>
  <pageSetup orientation="portrait"/>
  <headerFooter>
    <oddHeader/>
    <oddFooter>&amp;C&amp;"Calibri"&amp;10 &amp;K008000_x000d_# GENERAL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B1:Q80"/>
  <sheetViews>
    <sheetView showGridLines="0" zoomScale="97" workbookViewId="0">
      <selection activeCell="E86" sqref="E86"/>
    </sheetView>
  </sheetViews>
  <sheetFormatPr baseColWidth="8" defaultRowHeight="14.1"/>
  <cols>
    <col width="2.625" customWidth="1" style="433" min="1" max="1"/>
    <col width="27.5" customWidth="1" style="433" min="2" max="2"/>
    <col width="13.125" bestFit="1" customWidth="1" style="414" min="3" max="3"/>
    <col width="23" customWidth="1" style="414" min="4" max="4"/>
    <col width="19.875" bestFit="1" customWidth="1" style="433" min="5" max="5"/>
    <col width="19.5" bestFit="1" customWidth="1" style="433" min="6" max="6"/>
    <col width="16.5" bestFit="1" customWidth="1" style="433" min="7" max="7"/>
    <col width="23" customWidth="1" style="433" min="8" max="8"/>
    <col width="29.125" bestFit="1" customWidth="1" style="486" min="9" max="9"/>
    <col width="24.5" bestFit="1" customWidth="1" style="486" min="10" max="10"/>
    <col width="21.625" bestFit="1" customWidth="1" style="486" min="11" max="11"/>
    <col width="16.125" bestFit="1" customWidth="1" style="433" min="12" max="12"/>
    <col width="10.875" bestFit="1" customWidth="1" style="433" min="13" max="13"/>
    <col width="16.125" bestFit="1" customWidth="1" style="433" min="14" max="15"/>
    <col width="15.375" bestFit="1" customWidth="1" style="433" min="16" max="16"/>
    <col width="10.875" bestFit="1" customWidth="1" style="433" min="17" max="17"/>
    <col width="10.875" customWidth="1" style="433" min="18" max="18"/>
    <col width="9.625" bestFit="1" customWidth="1" style="433" min="19" max="19"/>
    <col width="9.875" bestFit="1" customWidth="1" style="433" min="20" max="20"/>
    <col width="17.5" bestFit="1" customWidth="1" style="433" min="21" max="21"/>
    <col width="18.5" bestFit="1" customWidth="1" style="433" min="22" max="22"/>
    <col width="10.875" bestFit="1" customWidth="1" style="433" min="23" max="23"/>
    <col width="12.125" bestFit="1" customWidth="1" style="433" min="26" max="26"/>
  </cols>
  <sheetData>
    <row r="1" ht="14.45" customHeight="1" s="433" thickBot="1">
      <c r="C1" s="414" t="n"/>
      <c r="D1" s="414" t="n"/>
      <c r="I1" s="486" t="n"/>
      <c r="J1" s="486" t="n"/>
      <c r="K1" s="486" t="n"/>
    </row>
    <row r="2" ht="14.45" customHeight="1" s="433" thickBot="1">
      <c r="B2" s="284" t="inlineStr">
        <is>
          <t>SKU</t>
        </is>
      </c>
      <c r="C2" s="285" t="inlineStr">
        <is>
          <t>Column2</t>
        </is>
      </c>
      <c r="D2" s="132" t="inlineStr">
        <is>
          <t>Integration</t>
        </is>
      </c>
      <c r="E2" s="133" t="inlineStr">
        <is>
          <t>Delivery</t>
        </is>
      </c>
      <c r="F2" s="133" t="inlineStr">
        <is>
          <t>title 60 months</t>
        </is>
      </c>
      <c r="G2" s="133" t="inlineStr">
        <is>
          <t>CSOW Totals</t>
        </is>
      </c>
      <c r="H2" s="132" t="inlineStr">
        <is>
          <t>Install</t>
        </is>
      </c>
      <c r="I2" s="133" t="inlineStr">
        <is>
          <t>PMO</t>
        </is>
      </c>
      <c r="J2" s="133" t="inlineStr">
        <is>
          <t>Break/Fix</t>
        </is>
      </c>
      <c r="K2" s="133" t="inlineStr">
        <is>
          <t>Call Center</t>
        </is>
      </c>
      <c r="L2" s="134" t="inlineStr">
        <is>
          <t>CSOW</t>
        </is>
      </c>
      <c r="M2" s="418" t="inlineStr">
        <is>
          <t>Quality Check against RFP Pricing Table</t>
        </is>
      </c>
      <c r="N2" s="444" t="n"/>
      <c r="O2" s="444" t="n"/>
      <c r="P2" s="444" t="n"/>
      <c r="Q2" s="445" t="n"/>
    </row>
    <row r="3">
      <c r="B3" s="99" t="n"/>
      <c r="C3" s="100" t="inlineStr">
        <is>
          <t>QTY</t>
        </is>
      </c>
      <c r="D3" s="101" t="inlineStr">
        <is>
          <t>Rack/Stack Integration</t>
        </is>
      </c>
      <c r="E3" s="102" t="inlineStr">
        <is>
          <t>Delivery</t>
        </is>
      </c>
      <c r="F3" s="487" t="inlineStr">
        <is>
          <t>title 60 months</t>
        </is>
      </c>
      <c r="G3" s="104" t="inlineStr">
        <is>
          <t>CSOW Totals</t>
        </is>
      </c>
      <c r="H3" s="488" t="inlineStr">
        <is>
          <t>Park Place</t>
        </is>
      </c>
      <c r="I3" s="106" t="inlineStr">
        <is>
          <t>WWT PMO</t>
        </is>
      </c>
      <c r="J3" s="107" t="inlineStr">
        <is>
          <t>Break/Fix</t>
        </is>
      </c>
      <c r="K3" s="107" t="inlineStr">
        <is>
          <t>PPT CC</t>
        </is>
      </c>
      <c r="L3" s="535" t="n"/>
      <c r="M3" s="422" t="inlineStr">
        <is>
          <t>Sum</t>
        </is>
      </c>
      <c r="N3" s="422" t="inlineStr">
        <is>
          <t>Monthly</t>
        </is>
      </c>
      <c r="O3" s="422" t="inlineStr">
        <is>
          <t>M/QTY</t>
        </is>
      </c>
      <c r="P3" s="422" t="inlineStr">
        <is>
          <t>RFP Total</t>
        </is>
      </c>
      <c r="Q3" s="422" t="inlineStr">
        <is>
          <t>Delta</t>
        </is>
      </c>
    </row>
    <row r="4">
      <c r="B4" s="108" t="n"/>
      <c r="C4" s="178" t="n">
        <v>0</v>
      </c>
      <c r="D4" s="490">
        <f>SUM(669.57*60*C4)</f>
        <v/>
      </c>
      <c r="E4" s="491">
        <f>SUM(178.34*C4*60)</f>
        <v/>
      </c>
      <c r="F4" s="492">
        <f>SUM(1841.32*60*C4)</f>
        <v/>
      </c>
      <c r="G4" s="493">
        <f>SUM(D4:F4)</f>
        <v/>
      </c>
      <c r="H4" s="494">
        <f>SUM(147.25*C4*60)</f>
        <v/>
      </c>
      <c r="I4" s="495">
        <f>1307.05*60*C4</f>
        <v/>
      </c>
      <c r="J4" s="496">
        <f>509.16*60*C4</f>
        <v/>
      </c>
      <c r="K4" s="496">
        <f>464*60*C4</f>
        <v/>
      </c>
      <c r="L4" s="536">
        <f>SUM(Table48[[#This Row],[Install]:[Call Center]])</f>
        <v/>
      </c>
      <c r="M4" s="486" t="n"/>
      <c r="N4" s="486" t="n"/>
      <c r="O4" s="486" t="n"/>
      <c r="P4" s="498" t="n"/>
      <c r="Q4" s="537" t="n"/>
    </row>
    <row r="5">
      <c r="B5" s="108" t="n"/>
      <c r="C5" s="178" t="n">
        <v>2</v>
      </c>
      <c r="D5" s="490">
        <f>SUM(0*60*C5)</f>
        <v/>
      </c>
      <c r="E5" s="491">
        <f>SUM(0*C5*60)</f>
        <v/>
      </c>
      <c r="F5" s="492">
        <f>SUM(0*60*C5)</f>
        <v/>
      </c>
      <c r="G5" s="493">
        <f>SUM(D5:F5)</f>
        <v/>
      </c>
      <c r="H5" s="494">
        <f>SUM(0*C5*60)</f>
        <v/>
      </c>
      <c r="I5" s="495">
        <f>0*60*C5</f>
        <v/>
      </c>
      <c r="J5" s="496">
        <f>0*60*C5</f>
        <v/>
      </c>
      <c r="K5" s="496">
        <f>0*60*C5</f>
        <v/>
      </c>
      <c r="L5" s="536">
        <f>SUM(Table48[[#This Row],[Install]:[Call Center]])</f>
        <v/>
      </c>
      <c r="M5" s="486" t="n"/>
      <c r="N5" s="486" t="n"/>
      <c r="O5" s="486" t="n"/>
      <c r="P5" s="498" t="n"/>
      <c r="Q5" s="537" t="n"/>
    </row>
    <row r="6">
      <c r="B6" s="108" t="n"/>
      <c r="C6" s="178" t="n">
        <v>2</v>
      </c>
      <c r="D6" s="490">
        <f>SUM(0*60*C6)</f>
        <v/>
      </c>
      <c r="E6" s="491">
        <f>SUM(0*C6*60)</f>
        <v/>
      </c>
      <c r="F6" s="492">
        <f>SUM(0*60*C6)</f>
        <v/>
      </c>
      <c r="G6" s="493">
        <f>SUM(D6:F6)</f>
        <v/>
      </c>
      <c r="H6" s="494">
        <f>SUM(0*C6*60)</f>
        <v/>
      </c>
      <c r="I6" s="495">
        <f>0*60*C6</f>
        <v/>
      </c>
      <c r="J6" s="496">
        <f>0*60*C6</f>
        <v/>
      </c>
      <c r="K6" s="496">
        <f>0*60*C6</f>
        <v/>
      </c>
      <c r="L6" s="536">
        <f>SUM(Table48[[#This Row],[Install]:[Call Center]])</f>
        <v/>
      </c>
      <c r="M6" s="486" t="n"/>
      <c r="N6" s="486" t="n"/>
      <c r="O6" s="486" t="n"/>
      <c r="P6" s="498" t="n"/>
      <c r="Q6" s="537" t="n"/>
    </row>
    <row r="7">
      <c r="B7" s="108" t="n"/>
      <c r="C7" s="178" t="n">
        <v>0</v>
      </c>
      <c r="D7" s="490">
        <f>SUM(20.15*60*C7)</f>
        <v/>
      </c>
      <c r="E7" s="491">
        <f>SUM(65*C7*60)</f>
        <v/>
      </c>
      <c r="F7" s="492">
        <f>SUM(53.78*60*C7)</f>
        <v/>
      </c>
      <c r="G7" s="493">
        <f>SUM(D7:F7)</f>
        <v/>
      </c>
      <c r="H7" s="494">
        <f>SUM(81.7*C7*60)</f>
        <v/>
      </c>
      <c r="I7" s="495">
        <f>0*60*C7</f>
        <v/>
      </c>
      <c r="J7" s="496">
        <f>40.69*60*C7</f>
        <v/>
      </c>
      <c r="K7" s="496">
        <f>48*60*C7</f>
        <v/>
      </c>
      <c r="L7" s="536">
        <f>SUM(Table48[[#This Row],[Install]:[Call Center]])</f>
        <v/>
      </c>
      <c r="M7" s="486" t="n"/>
      <c r="N7" s="486" t="n"/>
      <c r="O7" s="486" t="n"/>
      <c r="P7" s="498" t="n"/>
      <c r="Q7" s="537" t="n"/>
    </row>
    <row r="8">
      <c r="B8" s="117" t="inlineStr">
        <is>
          <t>WWT Revenue</t>
        </is>
      </c>
      <c r="C8" s="15" t="n"/>
      <c r="D8" s="500">
        <f>SUM(D4:D7)</f>
        <v/>
      </c>
      <c r="E8" s="500">
        <f>SUM(E4:E7)</f>
        <v/>
      </c>
      <c r="F8" s="500">
        <f>SUM(F4:F7)</f>
        <v/>
      </c>
      <c r="G8" s="497">
        <f>SUM(G4:G7)</f>
        <v/>
      </c>
      <c r="H8" s="500">
        <f>SUM(H4:H7)</f>
        <v/>
      </c>
      <c r="I8" s="500">
        <f>SUM(I4:I7)</f>
        <v/>
      </c>
      <c r="J8" s="500">
        <f>SUM(J4:J7)</f>
        <v/>
      </c>
      <c r="K8" s="500">
        <f>SUM(K4:K7)</f>
        <v/>
      </c>
      <c r="L8" s="536">
        <f>SUM(Table48[[#This Row],[Install]:[Call Center]])</f>
        <v/>
      </c>
      <c r="M8" s="486" t="n"/>
      <c r="N8" s="486" t="n"/>
      <c r="O8" s="486" t="n"/>
    </row>
    <row r="9" ht="14.45" customHeight="1" s="433" thickBot="1">
      <c r="B9" s="288" t="n"/>
      <c r="C9" s="139" t="n"/>
      <c r="D9" s="416" t="inlineStr">
        <is>
          <t>Monthly</t>
        </is>
      </c>
      <c r="E9" s="446" t="n"/>
      <c r="F9" s="446" t="n"/>
      <c r="G9" s="447" t="n"/>
      <c r="H9" s="416" t="inlineStr">
        <is>
          <t>Monthly</t>
        </is>
      </c>
      <c r="I9" s="446" t="n"/>
      <c r="J9" s="446" t="n"/>
      <c r="K9" s="447" t="n"/>
      <c r="L9" s="538" t="n"/>
      <c r="M9" s="486" t="n"/>
    </row>
    <row r="10" ht="14.45" customHeight="1" s="433" thickBot="1">
      <c r="B10" s="120" t="inlineStr">
        <is>
          <t>Column1</t>
        </is>
      </c>
      <c r="C10" s="121" t="inlineStr">
        <is>
          <t>Column2</t>
        </is>
      </c>
      <c r="D10" s="132" t="inlineStr">
        <is>
          <t>Integration</t>
        </is>
      </c>
      <c r="E10" s="133" t="inlineStr">
        <is>
          <t>Delivery</t>
        </is>
      </c>
      <c r="F10" s="133" t="inlineStr">
        <is>
          <t>title 60 months</t>
        </is>
      </c>
      <c r="G10" s="160" t="inlineStr">
        <is>
          <t>CSOW</t>
        </is>
      </c>
      <c r="H10" s="132" t="inlineStr">
        <is>
          <t>Install</t>
        </is>
      </c>
      <c r="I10" s="133" t="inlineStr">
        <is>
          <t>PMO</t>
        </is>
      </c>
      <c r="J10" s="133" t="inlineStr">
        <is>
          <t>Break/Fix</t>
        </is>
      </c>
      <c r="K10" s="133" t="inlineStr">
        <is>
          <t>Call Center</t>
        </is>
      </c>
      <c r="L10" s="161" t="inlineStr">
        <is>
          <t>CSOW2</t>
        </is>
      </c>
    </row>
    <row r="11" ht="14.45" customHeight="1" s="433" thickBot="1">
      <c r="B11" s="108" t="n"/>
      <c r="C11" s="178" t="n">
        <v>0</v>
      </c>
      <c r="D11" s="539">
        <f>D4/60</f>
        <v/>
      </c>
      <c r="E11" s="540">
        <f>E4/60</f>
        <v/>
      </c>
      <c r="F11" s="541">
        <f>F4/60</f>
        <v/>
      </c>
      <c r="G11" s="493">
        <f>SUM(D11:F11)</f>
        <v/>
      </c>
      <c r="H11" s="503">
        <f>H4/60</f>
        <v/>
      </c>
      <c r="I11" s="504">
        <f>I4/60</f>
        <v/>
      </c>
      <c r="J11" s="505">
        <f>J4/60</f>
        <v/>
      </c>
      <c r="K11" s="506">
        <f>K4/60</f>
        <v/>
      </c>
      <c r="L11" s="542">
        <f>SUM(Table29[[#This Row],[Install]:[Call Center]])</f>
        <v/>
      </c>
    </row>
    <row r="12" ht="14.45" customHeight="1" s="433" thickBot="1">
      <c r="B12" s="108" t="n"/>
      <c r="C12" s="178" t="n">
        <v>0</v>
      </c>
      <c r="D12" s="539">
        <f>D5/60</f>
        <v/>
      </c>
      <c r="E12" s="540">
        <f>E5/60</f>
        <v/>
      </c>
      <c r="F12" s="541">
        <f>F5/60</f>
        <v/>
      </c>
      <c r="G12" s="493">
        <f>SUM(D12:F12)</f>
        <v/>
      </c>
      <c r="H12" s="503">
        <f>H5/60</f>
        <v/>
      </c>
      <c r="I12" s="504">
        <f>I5/60</f>
        <v/>
      </c>
      <c r="J12" s="505">
        <f>J5/60</f>
        <v/>
      </c>
      <c r="K12" s="506">
        <f>K5/60</f>
        <v/>
      </c>
      <c r="L12" s="542">
        <f>SUM(Table29[[#This Row],[Install]:[Call Center]])</f>
        <v/>
      </c>
    </row>
    <row r="13">
      <c r="B13" s="108" t="n"/>
      <c r="C13" s="178" t="n">
        <v>0</v>
      </c>
      <c r="D13" s="539">
        <f>D6/60</f>
        <v/>
      </c>
      <c r="E13" s="540">
        <f>E6/60</f>
        <v/>
      </c>
      <c r="F13" s="541">
        <f>F6/60</f>
        <v/>
      </c>
      <c r="G13" s="493">
        <f>SUM(D13:F13)</f>
        <v/>
      </c>
      <c r="H13" s="503">
        <f>H6/60</f>
        <v/>
      </c>
      <c r="I13" s="504">
        <f>I6/60</f>
        <v/>
      </c>
      <c r="J13" s="505">
        <f>J6/60</f>
        <v/>
      </c>
      <c r="K13" s="506">
        <f>K6/60</f>
        <v/>
      </c>
      <c r="L13" s="542">
        <f>SUM(Table29[[#This Row],[Install]:[Call Center]])</f>
        <v/>
      </c>
    </row>
    <row r="14">
      <c r="B14" s="108" t="n"/>
      <c r="C14" s="178" t="n">
        <v>0</v>
      </c>
      <c r="D14" s="502">
        <f>D7/60</f>
        <v/>
      </c>
      <c r="E14" s="491">
        <f>E7/60</f>
        <v/>
      </c>
      <c r="F14" s="492">
        <f>F7/60</f>
        <v/>
      </c>
      <c r="G14" s="493">
        <f>SUM(D14:F14)</f>
        <v/>
      </c>
      <c r="H14" s="507">
        <f>H7/60</f>
        <v/>
      </c>
      <c r="I14" s="508">
        <f>I7/60</f>
        <v/>
      </c>
      <c r="J14" s="509">
        <f>J7/60</f>
        <v/>
      </c>
      <c r="K14" s="496">
        <f>K7/60</f>
        <v/>
      </c>
      <c r="L14" s="542">
        <f>SUM(Table29[[#This Row],[Install]:[Call Center]])</f>
        <v/>
      </c>
    </row>
    <row r="15" ht="14.45" customHeight="1" s="433" thickBot="1">
      <c r="B15" s="291" t="n"/>
      <c r="C15" s="292" t="n"/>
      <c r="D15" s="543">
        <f>SUM(Table29[Integration])</f>
        <v/>
      </c>
      <c r="E15" s="544">
        <f>SUBTOTAL(109,Table29[Delivery])</f>
        <v/>
      </c>
      <c r="F15" s="545">
        <f>SUBTOTAL(109,Table29[title 60 months])</f>
        <v/>
      </c>
      <c r="G15" s="546">
        <f>SUBTOTAL(109,Table29[CSOW])</f>
        <v/>
      </c>
      <c r="H15" s="547">
        <f>SUBTOTAL(109,Table29[Install])</f>
        <v/>
      </c>
      <c r="I15" s="548">
        <f>SUBTOTAL(109,Table29[PMO])</f>
        <v/>
      </c>
      <c r="J15" s="549">
        <f>SUBTOTAL(109,Table29[Break/Fix])</f>
        <v/>
      </c>
      <c r="K15" s="550">
        <f>SUBTOTAL(109,Table29[Call Center])</f>
        <v/>
      </c>
      <c r="L15" s="551">
        <f>SUBTOTAL(109,Table29[CSOW2])</f>
        <v/>
      </c>
      <c r="M15" s="422" t="n"/>
      <c r="N15" s="422" t="n"/>
      <c r="O15" s="422" t="n"/>
      <c r="P15" s="422" t="n"/>
    </row>
    <row r="16" ht="14.45" customHeight="1" s="433" thickBot="1">
      <c r="B16" s="281" t="n"/>
      <c r="C16" s="282" t="inlineStr">
        <is>
          <t>SOW Total</t>
        </is>
      </c>
      <c r="D16" s="282" t="n"/>
      <c r="E16" s="552">
        <f>SUM(D8:F8,H8:K8)</f>
        <v/>
      </c>
      <c r="I16" s="486" t="n"/>
      <c r="J16" s="486" t="n"/>
      <c r="K16" s="486" t="n"/>
    </row>
    <row r="17" ht="14.45" customHeight="1" s="433" thickBot="1">
      <c r="C17" s="414" t="n"/>
      <c r="D17" s="414" t="n"/>
      <c r="H17" s="174" t="inlineStr">
        <is>
          <t>Monthly SOW Total</t>
        </is>
      </c>
      <c r="I17" s="553">
        <f>SUM(G15,L15)</f>
        <v/>
      </c>
      <c r="J17" s="486" t="n"/>
      <c r="K17" s="486" t="n"/>
      <c r="L17" s="486" t="n"/>
    </row>
    <row r="18" ht="14.45" customHeight="1" s="433" thickBot="1">
      <c r="B18" s="420" t="inlineStr">
        <is>
          <t>WWT Internal - Integration Cost</t>
        </is>
      </c>
      <c r="H18" s="172" t="inlineStr">
        <is>
          <t>Estimated VAT (Mo.)</t>
        </is>
      </c>
      <c r="I18" s="517">
        <f>L25</f>
        <v/>
      </c>
      <c r="J18" s="486" t="n"/>
      <c r="K18" s="518" t="inlineStr">
        <is>
          <t>Day2 Managed Service &amp; PMO</t>
        </is>
      </c>
      <c r="L18" s="519">
        <f>SUM(I8:K8)</f>
        <v/>
      </c>
    </row>
    <row r="19" ht="14.45" customHeight="1" s="433" thickBot="1">
      <c r="B19" s="32" t="inlineStr">
        <is>
          <t>SKU</t>
        </is>
      </c>
      <c r="C19" s="16" t="inlineStr">
        <is>
          <t>Qty</t>
        </is>
      </c>
      <c r="D19" s="351" t="inlineStr">
        <is>
          <t>Integration Cost</t>
        </is>
      </c>
      <c r="E19" s="351" t="inlineStr">
        <is>
          <t>SDaaS</t>
        </is>
      </c>
      <c r="H19" s="172" t="inlineStr">
        <is>
          <t>total vat</t>
        </is>
      </c>
      <c r="I19" s="517">
        <f>L26</f>
        <v/>
      </c>
      <c r="J19" s="486" t="n"/>
      <c r="K19" s="486" t="n"/>
    </row>
    <row r="20" ht="14.45" customHeight="1" s="433" thickTop="1">
      <c r="B20" s="341" t="n"/>
      <c r="C20" s="342" t="n">
        <v>0</v>
      </c>
      <c r="D20" s="554">
        <f>0*C20</f>
        <v/>
      </c>
      <c r="E20" s="555" t="n">
        <v>0</v>
      </c>
      <c r="F20" s="556" t="n"/>
      <c r="I20" s="486" t="n"/>
      <c r="J20" s="486" t="n"/>
      <c r="K20" s="486" t="n"/>
      <c r="L20" s="486" t="n"/>
    </row>
    <row r="21">
      <c r="B21" s="345" t="n"/>
      <c r="C21" s="414" t="n">
        <v>0</v>
      </c>
      <c r="D21" s="520">
        <f>(0)*C21</f>
        <v/>
      </c>
      <c r="E21" s="557">
        <f>464*C21*60</f>
        <v/>
      </c>
      <c r="F21" s="556" t="n"/>
      <c r="I21" s="486" t="n"/>
      <c r="J21" s="486" t="n"/>
      <c r="K21" s="486" t="n"/>
      <c r="L21" s="486" t="n"/>
    </row>
    <row r="22">
      <c r="B22" s="345" t="n"/>
      <c r="C22" s="414" t="n">
        <v>0</v>
      </c>
      <c r="D22" s="520">
        <f>(0)*C22</f>
        <v/>
      </c>
      <c r="E22" s="557">
        <f>112*C22*60</f>
        <v/>
      </c>
      <c r="F22" s="556" t="n"/>
      <c r="I22" s="486" t="n"/>
      <c r="J22" s="486" t="n"/>
      <c r="K22" s="486" t="n"/>
      <c r="L22" s="486" t="n"/>
    </row>
    <row r="23" ht="14.45" customHeight="1" s="433" thickBot="1">
      <c r="B23" s="345" t="n"/>
      <c r="C23" s="414" t="n">
        <v>0</v>
      </c>
      <c r="D23" s="520">
        <f>0*C23</f>
        <v/>
      </c>
      <c r="E23" s="557" t="n"/>
      <c r="F23" s="556" t="n"/>
      <c r="I23" s="486" t="n"/>
      <c r="J23" s="486" t="n"/>
      <c r="K23" s="486" t="n"/>
      <c r="L23" s="486" t="n"/>
    </row>
    <row r="24" ht="14.45" customHeight="1" s="433" thickBot="1">
      <c r="B24" s="347" t="n"/>
      <c r="C24" s="348" t="inlineStr">
        <is>
          <t>Total</t>
        </is>
      </c>
      <c r="D24" s="558">
        <f>SUBTOTAL(109,D20:D23)</f>
        <v/>
      </c>
      <c r="E24" s="559">
        <f>SUBTOTAL(109,E20:E23)</f>
        <v/>
      </c>
      <c r="H24" s="523" t="inlineStr">
        <is>
          <t>Partner(s) Total Revenue</t>
        </is>
      </c>
      <c r="I24" s="486" t="n"/>
      <c r="J24" s="486" t="n"/>
      <c r="K24" s="486" t="n"/>
      <c r="L24" s="486" t="n"/>
    </row>
    <row r="25" ht="15" customHeight="1" s="433" thickBot="1" thickTop="1">
      <c r="C25" s="414" t="n"/>
      <c r="D25" s="414" t="n"/>
      <c r="H25" s="560">
        <f>SUM(H8,J8:K8)</f>
        <v/>
      </c>
      <c r="I25" s="486" t="n"/>
      <c r="J25" s="486" t="n"/>
      <c r="K25" s="486" t="n"/>
      <c r="L25" s="486" t="n"/>
    </row>
    <row r="26">
      <c r="B26" s="419" t="inlineStr">
        <is>
          <t>Partner Cost</t>
        </is>
      </c>
      <c r="C26" s="449" t="n"/>
      <c r="D26" s="449" t="n"/>
      <c r="E26" s="449" t="n"/>
      <c r="F26" s="449" t="n"/>
      <c r="G26" s="306" t="inlineStr">
        <is>
          <t>Monthly</t>
        </is>
      </c>
      <c r="H26" s="451" t="n"/>
      <c r="I26" s="451" t="n"/>
      <c r="J26" s="452" t="n"/>
      <c r="K26" s="486" t="n"/>
      <c r="L26" s="486" t="n"/>
    </row>
    <row r="27">
      <c r="B27" s="307" t="inlineStr">
        <is>
          <t>SKU</t>
        </is>
      </c>
      <c r="C27" s="17" t="inlineStr">
        <is>
          <t>qty</t>
        </is>
      </c>
      <c r="D27" s="525" t="inlineStr">
        <is>
          <t xml:space="preserve">Install </t>
        </is>
      </c>
      <c r="E27" s="141" t="inlineStr">
        <is>
          <t>break fix</t>
        </is>
      </c>
      <c r="F27" s="135" t="inlineStr">
        <is>
          <t>call center</t>
        </is>
      </c>
      <c r="G27" s="162" t="inlineStr">
        <is>
          <t>Break fix2</t>
        </is>
      </c>
      <c r="H27" s="448" t="inlineStr">
        <is>
          <t>call center2</t>
        </is>
      </c>
      <c r="I27" s="448" t="inlineStr">
        <is>
          <t>Break/Fix &amp; Call Center Total</t>
        </is>
      </c>
      <c r="J27" s="303" t="inlineStr">
        <is>
          <t>Column1</t>
        </is>
      </c>
      <c r="K27" s="486" t="n"/>
    </row>
    <row r="28">
      <c r="B28" s="108" t="n"/>
      <c r="C28" s="178" t="n">
        <v>0</v>
      </c>
      <c r="D28" s="526">
        <f>6626.46*C28</f>
        <v/>
      </c>
      <c r="E28" s="527">
        <f>381.87*C28*60</f>
        <v/>
      </c>
      <c r="F28" s="528">
        <f>348*C28*60</f>
        <v/>
      </c>
      <c r="G28" s="486">
        <f>E28/60</f>
        <v/>
      </c>
      <c r="H28" s="486">
        <f>F28/60</f>
        <v/>
      </c>
      <c r="I28" s="486">
        <f>SUM(Table3712[[#This Row],[break fix]:[call center]])</f>
        <v/>
      </c>
      <c r="J28" s="308" t="n"/>
      <c r="K28" s="486" t="n"/>
    </row>
    <row r="29">
      <c r="B29" s="108" t="n"/>
      <c r="C29" s="178" t="n">
        <v>2</v>
      </c>
      <c r="D29" s="526">
        <f>0*C29</f>
        <v/>
      </c>
      <c r="E29" s="527">
        <f>0*C29*60</f>
        <v/>
      </c>
      <c r="F29" s="528">
        <f>0*C29*60</f>
        <v/>
      </c>
      <c r="G29" s="486">
        <f>E29/60</f>
        <v/>
      </c>
      <c r="H29" s="486">
        <f>F29/60</f>
        <v/>
      </c>
      <c r="I29" s="486">
        <f>SUM(Table3712[[#This Row],[break fix]:[call center]])</f>
        <v/>
      </c>
      <c r="J29" s="308" t="n"/>
      <c r="K29" s="486" t="n"/>
    </row>
    <row r="30">
      <c r="B30" s="108" t="n"/>
      <c r="C30" s="178" t="n">
        <v>2</v>
      </c>
      <c r="D30" s="526">
        <f>0*Table3712[[#This Row],[qty]]</f>
        <v/>
      </c>
      <c r="E30" s="527">
        <f>0*C30*60</f>
        <v/>
      </c>
      <c r="F30" s="528">
        <f>0*C30*60</f>
        <v/>
      </c>
      <c r="G30" s="486">
        <f>E30/60</f>
        <v/>
      </c>
      <c r="H30" s="486">
        <f>F30/60</f>
        <v/>
      </c>
      <c r="I30" s="486">
        <f>SUM(Table3712[[#This Row],[break fix]:[call center]])</f>
        <v/>
      </c>
      <c r="J30" s="308" t="n"/>
      <c r="K30" s="486" t="n"/>
    </row>
    <row r="31">
      <c r="B31" s="108" t="n"/>
      <c r="C31" s="178" t="n">
        <v>1</v>
      </c>
      <c r="D31" s="526">
        <f>0*C31</f>
        <v/>
      </c>
      <c r="E31" s="527">
        <f>0*C31*60</f>
        <v/>
      </c>
      <c r="F31" s="528">
        <f>0*C31*60</f>
        <v/>
      </c>
      <c r="G31" s="486">
        <f>E31/60</f>
        <v/>
      </c>
      <c r="H31" s="486">
        <f>F31/60</f>
        <v/>
      </c>
      <c r="I31" s="486">
        <f>SUM(Table3712[[#This Row],[break fix]:[call center]])</f>
        <v/>
      </c>
      <c r="J31" s="308" t="n"/>
      <c r="K31" s="486" t="n"/>
    </row>
    <row r="32">
      <c r="B32" s="108" t="n"/>
      <c r="C32" s="178" t="n">
        <v>1</v>
      </c>
      <c r="D32" s="526">
        <f>2631.58*Table3712[[#This Row],[qty]]</f>
        <v/>
      </c>
      <c r="E32" s="527" t="n">
        <v>0</v>
      </c>
      <c r="F32" s="528">
        <f>0*C32*60</f>
        <v/>
      </c>
      <c r="G32" s="486" t="n"/>
      <c r="H32" s="486">
        <f>Table3712[[#This Row],[call center]]/60</f>
        <v/>
      </c>
      <c r="I32" s="486" t="n"/>
      <c r="J32" s="308" t="n"/>
      <c r="K32" s="486" t="n"/>
    </row>
    <row r="33">
      <c r="B33" s="309" t="n"/>
      <c r="C33" s="109" t="inlineStr">
        <is>
          <t>Totals</t>
        </is>
      </c>
      <c r="D33" s="530" t="n"/>
      <c r="E33" s="531" t="n"/>
      <c r="F33" s="528" t="n"/>
      <c r="G33" s="486" t="n"/>
      <c r="H33" s="486" t="n"/>
      <c r="I33" s="486" t="n"/>
      <c r="J33" s="308" t="n"/>
      <c r="K33" s="486" t="n"/>
    </row>
    <row r="34">
      <c r="B34" s="108" t="n"/>
      <c r="C34" s="109" t="n"/>
      <c r="D34" s="533">
        <f>SUBTOTAL(109,D28:D33)</f>
        <v/>
      </c>
      <c r="E34" s="533">
        <f>SUBTOTAL(109,E28:E33)</f>
        <v/>
      </c>
      <c r="F34" s="533">
        <f>SUBTOTAL(109,F28:F33)</f>
        <v/>
      </c>
      <c r="G34" s="486">
        <f>SUM(G28:G30)</f>
        <v/>
      </c>
      <c r="H34" s="486">
        <f>SUM(H28:H32)</f>
        <v/>
      </c>
      <c r="I34" s="486">
        <f>SUM(I28:I32)</f>
        <v/>
      </c>
      <c r="J34" s="561" t="n"/>
      <c r="K34" s="486" t="n"/>
    </row>
    <row r="35" ht="14.45" customHeight="1" s="433" thickBot="1">
      <c r="B35" s="291" t="n"/>
      <c r="C35" s="292" t="n"/>
      <c r="D35" s="562" t="n"/>
      <c r="E35" s="563" t="n"/>
      <c r="F35" s="564" t="n"/>
      <c r="G35" s="44" t="n"/>
      <c r="H35" s="565" t="n"/>
      <c r="I35" s="565" t="n"/>
      <c r="J35" s="566" t="n"/>
      <c r="K35" s="486" t="n"/>
    </row>
    <row r="36" ht="14.45" customHeight="1" s="433" thickBot="1">
      <c r="B36" s="32" t="inlineStr">
        <is>
          <t>PSOW Total</t>
        </is>
      </c>
      <c r="C36" s="567">
        <f>SUM(D34:F34)</f>
        <v/>
      </c>
      <c r="D36" s="414" t="n"/>
      <c r="E36" s="251" t="inlineStr">
        <is>
          <t>PSOW Monthly Invoice</t>
        </is>
      </c>
      <c r="F36" s="566">
        <f>SUM(E34:F34)/60</f>
        <v/>
      </c>
      <c r="I36" s="486" t="n"/>
      <c r="J36" s="486" t="n"/>
      <c r="K36" s="486" t="n"/>
    </row>
    <row r="37">
      <c r="B37" s="32" t="inlineStr">
        <is>
          <t>Travel Fee</t>
        </is>
      </c>
      <c r="C37" s="567" t="n"/>
      <c r="D37" s="414" t="n"/>
      <c r="I37" s="486" t="n"/>
      <c r="J37" s="486" t="n"/>
      <c r="K37" s="486" t="n"/>
    </row>
    <row r="38" ht="14.45" customHeight="1" s="433" thickBot="1">
      <c r="B38" s="251" t="inlineStr">
        <is>
          <t>Total</t>
        </is>
      </c>
      <c r="C38" s="566">
        <f>SUM(C36:C37)</f>
        <v/>
      </c>
      <c r="D38" s="414" t="n"/>
      <c r="I38" s="486" t="n"/>
      <c r="J38" s="486" t="n"/>
      <c r="K38" s="486" t="n"/>
    </row>
    <row r="41" hidden="1" s="433">
      <c r="B41" s="411" t="inlineStr">
        <is>
          <t>Currency Conversion Tables</t>
        </is>
      </c>
      <c r="J41" s="498" t="inlineStr">
        <is>
          <t>Conversion Rate --&gt;</t>
        </is>
      </c>
      <c r="K41">
        <f>'Estimator Input'!C9</f>
        <v/>
      </c>
    </row>
    <row r="42" hidden="1" s="433">
      <c r="J42" s="486" t="n"/>
      <c r="K42" s="568" t="n"/>
    </row>
    <row r="43" hidden="1" ht="14.45" customHeight="1" s="433" thickBot="1">
      <c r="C43" s="414" t="n"/>
      <c r="D43" s="414" t="n"/>
      <c r="I43" s="486" t="n"/>
      <c r="J43" s="486" t="n"/>
      <c r="K43" s="486" t="n"/>
    </row>
    <row r="44" hidden="1" ht="14.45" customHeight="1" s="433" thickBot="1">
      <c r="B44" s="284" t="inlineStr">
        <is>
          <t>SKU</t>
        </is>
      </c>
      <c r="C44" s="285" t="inlineStr">
        <is>
          <t>Column2</t>
        </is>
      </c>
      <c r="D44" s="132" t="inlineStr">
        <is>
          <t>Integration</t>
        </is>
      </c>
      <c r="E44" s="133" t="inlineStr">
        <is>
          <t>Delivery</t>
        </is>
      </c>
      <c r="F44" s="133" t="inlineStr">
        <is>
          <t>title 60 months</t>
        </is>
      </c>
      <c r="G44" s="133" t="inlineStr">
        <is>
          <t>CSOW Totals</t>
        </is>
      </c>
      <c r="H44" s="132" t="inlineStr">
        <is>
          <t>Install</t>
        </is>
      </c>
      <c r="I44" s="133" t="inlineStr">
        <is>
          <t>PMO</t>
        </is>
      </c>
      <c r="J44" s="133" t="inlineStr">
        <is>
          <t>Break/Fix</t>
        </is>
      </c>
      <c r="K44" s="133" t="inlineStr">
        <is>
          <t>Call Center</t>
        </is>
      </c>
      <c r="L44" s="134" t="inlineStr">
        <is>
          <t>CSOW</t>
        </is>
      </c>
    </row>
    <row r="45" hidden="1" s="433">
      <c r="B45" s="99" t="n"/>
      <c r="C45" s="100" t="inlineStr">
        <is>
          <t>QTY</t>
        </is>
      </c>
      <c r="D45" s="101" t="inlineStr">
        <is>
          <t>Rack/Stack Integration</t>
        </is>
      </c>
      <c r="E45" s="102" t="inlineStr">
        <is>
          <t>Delivery</t>
        </is>
      </c>
      <c r="F45" s="487" t="inlineStr">
        <is>
          <t>title 60 months</t>
        </is>
      </c>
      <c r="G45" s="104" t="inlineStr">
        <is>
          <t>CSOW Totals</t>
        </is>
      </c>
      <c r="H45" s="488" t="inlineStr">
        <is>
          <t>Park Place</t>
        </is>
      </c>
      <c r="I45" s="106" t="inlineStr">
        <is>
          <t>WWT PMO</t>
        </is>
      </c>
      <c r="J45" s="107" t="inlineStr">
        <is>
          <t>Break/Fix</t>
        </is>
      </c>
      <c r="K45" s="107" t="inlineStr">
        <is>
          <t>PPT CC</t>
        </is>
      </c>
      <c r="L45" s="535" t="n"/>
    </row>
    <row r="46" hidden="1" s="433">
      <c r="B46" s="108" t="n"/>
      <c r="C46" s="178" t="n">
        <v>0</v>
      </c>
      <c r="D46" s="569">
        <f>D4*$K$41</f>
        <v/>
      </c>
      <c r="E46" s="570">
        <f>E4*$K$41</f>
        <v/>
      </c>
      <c r="F46" s="571">
        <f>F4*$K$41</f>
        <v/>
      </c>
      <c r="G46" s="572">
        <f>SUM(D46:F46)</f>
        <v/>
      </c>
      <c r="H46" s="573">
        <f>H4*$K$41</f>
        <v/>
      </c>
      <c r="I46" s="574">
        <f>I4*$K$41</f>
        <v/>
      </c>
      <c r="J46" s="575">
        <f>J4*$K$41</f>
        <v/>
      </c>
      <c r="K46" s="575">
        <f>K4*$K$41</f>
        <v/>
      </c>
      <c r="L46" s="576">
        <f>SUM(Table483[[#This Row],[Install]:[Call Center]])</f>
        <v/>
      </c>
    </row>
    <row r="47" hidden="1" s="433">
      <c r="B47" s="108" t="inlineStr">
        <is>
          <t>GDCH Base Rack v2</t>
        </is>
      </c>
      <c r="C47" s="178" t="n">
        <v>1</v>
      </c>
      <c r="D47" s="569">
        <f>D5*$K$41</f>
        <v/>
      </c>
      <c r="E47" s="570">
        <f>E5*$K$41</f>
        <v/>
      </c>
      <c r="F47" s="571">
        <f>F5*$K$41</f>
        <v/>
      </c>
      <c r="G47" s="572">
        <f>SUM(D47:F47)</f>
        <v/>
      </c>
      <c r="H47" s="573">
        <f>H5*$K$41</f>
        <v/>
      </c>
      <c r="I47" s="574">
        <f>I5*$K$41</f>
        <v/>
      </c>
      <c r="J47" s="575">
        <f>J5*$K$41</f>
        <v/>
      </c>
      <c r="K47" s="575">
        <f>K5*$K$41</f>
        <v/>
      </c>
      <c r="L47" s="576">
        <f>SUM(Table483[[#This Row],[Install]:[Call Center]])</f>
        <v/>
      </c>
    </row>
    <row r="48" hidden="1" s="433">
      <c r="B48" s="108" t="inlineStr">
        <is>
          <t>GDC OIRv1 Rack</t>
        </is>
      </c>
      <c r="C48" s="178" t="n">
        <v>1</v>
      </c>
      <c r="D48" s="569">
        <f>D6*$K$41</f>
        <v/>
      </c>
      <c r="E48" s="570">
        <f>E6*$K$41</f>
        <v/>
      </c>
      <c r="F48" s="571">
        <f>F6*$K$41</f>
        <v/>
      </c>
      <c r="G48" s="572">
        <f>SUM(D48:F48)</f>
        <v/>
      </c>
      <c r="H48" s="573">
        <f>H6*$K$41</f>
        <v/>
      </c>
      <c r="I48" s="574">
        <f>I6*$K$41</f>
        <v/>
      </c>
      <c r="J48" s="575">
        <f>J6*$K$41</f>
        <v/>
      </c>
      <c r="K48" s="575">
        <f>K6*$K$41</f>
        <v/>
      </c>
      <c r="L48" s="576">
        <f>SUM(Table483[[#This Row],[Install]:[Call Center]])</f>
        <v/>
      </c>
    </row>
    <row r="49" hidden="1" s="433">
      <c r="B49" s="108" t="inlineStr">
        <is>
          <t>GDCH Standard Compute Block</t>
        </is>
      </c>
      <c r="C49" s="178" t="n">
        <v>1</v>
      </c>
      <c r="D49" s="569">
        <f>D7*$K$41</f>
        <v/>
      </c>
      <c r="E49" s="570">
        <f>E7*$K$41</f>
        <v/>
      </c>
      <c r="F49" s="571">
        <f>F7*$K$41</f>
        <v/>
      </c>
      <c r="G49" s="572">
        <f>SUM(D49:F49)</f>
        <v/>
      </c>
      <c r="H49" s="573">
        <f>H7*$K$41</f>
        <v/>
      </c>
      <c r="I49" s="574">
        <f>0*60*C49</f>
        <v/>
      </c>
      <c r="J49" s="575">
        <f>J7*$K$41</f>
        <v/>
      </c>
      <c r="K49" s="575">
        <f>K7*$K$41</f>
        <v/>
      </c>
      <c r="L49" s="576">
        <f>SUM(Table483[[#This Row],[Install]:[Call Center]])</f>
        <v/>
      </c>
    </row>
    <row r="50" hidden="1" s="433">
      <c r="B50" s="117" t="inlineStr">
        <is>
          <t>WWT Revenue</t>
        </is>
      </c>
      <c r="C50" s="15" t="n"/>
      <c r="D50" s="577">
        <f>SUM(D46:D49)</f>
        <v/>
      </c>
      <c r="E50" s="577">
        <f>SUM(E46:E49)</f>
        <v/>
      </c>
      <c r="F50" s="577">
        <f>SUM(F46:F49)</f>
        <v/>
      </c>
      <c r="G50" s="578">
        <f>SUM(G46:G49)</f>
        <v/>
      </c>
      <c r="H50" s="577">
        <f>SUM(H46:H49)</f>
        <v/>
      </c>
      <c r="I50" s="577">
        <f>SUM(I46:I49)</f>
        <v/>
      </c>
      <c r="J50" s="577">
        <f>SUM(J46:J49)</f>
        <v/>
      </c>
      <c r="K50" s="577">
        <f>SUM(K46:K49)</f>
        <v/>
      </c>
      <c r="L50" s="576">
        <f>SUM(Table483[[#This Row],[Install]:[Call Center]])</f>
        <v/>
      </c>
    </row>
    <row r="51" hidden="1" ht="14.45" customHeight="1" s="433" thickBot="1">
      <c r="B51" s="288" t="n"/>
      <c r="C51" s="139" t="n"/>
      <c r="D51" s="416" t="inlineStr">
        <is>
          <t>Monthly</t>
        </is>
      </c>
      <c r="E51" s="446" t="n"/>
      <c r="F51" s="446" t="n"/>
      <c r="G51" s="447" t="n"/>
      <c r="H51" s="416" t="inlineStr">
        <is>
          <t>Monthly</t>
        </is>
      </c>
      <c r="I51" s="446" t="n"/>
      <c r="J51" s="446" t="n"/>
      <c r="K51" s="447" t="n"/>
      <c r="L51" s="538" t="n"/>
    </row>
    <row r="52" hidden="1" ht="14.45" customHeight="1" s="433" thickBot="1">
      <c r="B52" s="120" t="inlineStr">
        <is>
          <t>Column1</t>
        </is>
      </c>
      <c r="C52" s="121" t="inlineStr">
        <is>
          <t>Column2</t>
        </is>
      </c>
      <c r="D52" s="132" t="inlineStr">
        <is>
          <t>Integration</t>
        </is>
      </c>
      <c r="E52" s="133" t="inlineStr">
        <is>
          <t>Delivery</t>
        </is>
      </c>
      <c r="F52" s="133" t="inlineStr">
        <is>
          <t>title 60 months</t>
        </is>
      </c>
      <c r="G52" s="160" t="inlineStr">
        <is>
          <t>CSOW</t>
        </is>
      </c>
      <c r="H52" s="132" t="inlineStr">
        <is>
          <t>Install</t>
        </is>
      </c>
      <c r="I52" s="133" t="inlineStr">
        <is>
          <t>PMO</t>
        </is>
      </c>
      <c r="J52" s="133" t="inlineStr">
        <is>
          <t>Break/Fix</t>
        </is>
      </c>
      <c r="K52" s="133" t="inlineStr">
        <is>
          <t>Call Center</t>
        </is>
      </c>
      <c r="L52" s="161" t="inlineStr">
        <is>
          <t>CSOW2</t>
        </is>
      </c>
    </row>
    <row r="53" hidden="1" ht="14.45" customHeight="1" s="433" thickBot="1">
      <c r="B53" s="108" t="n"/>
      <c r="C53" s="178" t="n">
        <v>0</v>
      </c>
      <c r="D53" s="579">
        <f>D46/60</f>
        <v/>
      </c>
      <c r="E53" s="580">
        <f>E46/60</f>
        <v/>
      </c>
      <c r="F53" s="581">
        <f>F46/60</f>
        <v/>
      </c>
      <c r="G53" s="572">
        <f>SUM(D53:F53)</f>
        <v/>
      </c>
      <c r="H53" s="582">
        <f>H46/60</f>
        <v/>
      </c>
      <c r="I53" s="583">
        <f>I46/60</f>
        <v/>
      </c>
      <c r="J53" s="584">
        <f>J46/60</f>
        <v/>
      </c>
      <c r="K53" s="585">
        <f>K46/60</f>
        <v/>
      </c>
      <c r="L53" s="586">
        <f>SUM(Table294[[#This Row],[Install]:[Call Center]])</f>
        <v/>
      </c>
    </row>
    <row r="54" hidden="1" ht="14.45" customHeight="1" s="433" thickBot="1">
      <c r="B54" s="108" t="inlineStr">
        <is>
          <t>GDCH Base Rack v2</t>
        </is>
      </c>
      <c r="C54" s="178" t="n">
        <v>1</v>
      </c>
      <c r="D54" s="579">
        <f>D47/60</f>
        <v/>
      </c>
      <c r="E54" s="580">
        <f>E47/60</f>
        <v/>
      </c>
      <c r="F54" s="581">
        <f>F47/60</f>
        <v/>
      </c>
      <c r="G54" s="572">
        <f>SUM(D54:F54)</f>
        <v/>
      </c>
      <c r="H54" s="582">
        <f>H47/60</f>
        <v/>
      </c>
      <c r="I54" s="583">
        <f>I47/60</f>
        <v/>
      </c>
      <c r="J54" s="584">
        <f>J47/60</f>
        <v/>
      </c>
      <c r="K54" s="585">
        <f>K47/60</f>
        <v/>
      </c>
      <c r="L54" s="586">
        <f>SUM(Table294[[#This Row],[Install]:[Call Center]])</f>
        <v/>
      </c>
    </row>
    <row r="55" hidden="1" s="433">
      <c r="B55" s="108" t="inlineStr">
        <is>
          <t>GDC OIRv1 Rack</t>
        </is>
      </c>
      <c r="C55" s="178" t="n">
        <v>1</v>
      </c>
      <c r="D55" s="579">
        <f>D48/60</f>
        <v/>
      </c>
      <c r="E55" s="580">
        <f>E48/60</f>
        <v/>
      </c>
      <c r="F55" s="581">
        <f>F48/60</f>
        <v/>
      </c>
      <c r="G55" s="572">
        <f>SUM(D55:F55)</f>
        <v/>
      </c>
      <c r="H55" s="582">
        <f>H48/60</f>
        <v/>
      </c>
      <c r="I55" s="583">
        <f>I48/60</f>
        <v/>
      </c>
      <c r="J55" s="584">
        <f>J48/60</f>
        <v/>
      </c>
      <c r="K55" s="585">
        <f>K48/60</f>
        <v/>
      </c>
      <c r="L55" s="586">
        <f>SUM(Table294[[#This Row],[Install]:[Call Center]])</f>
        <v/>
      </c>
    </row>
    <row r="56" hidden="1" s="433">
      <c r="B56" s="108" t="inlineStr">
        <is>
          <t>GDCH Standard Compute Block</t>
        </is>
      </c>
      <c r="C56" s="178" t="n">
        <v>1</v>
      </c>
      <c r="D56" s="569">
        <f>D49/60</f>
        <v/>
      </c>
      <c r="E56" s="570">
        <f>E49/60</f>
        <v/>
      </c>
      <c r="F56" s="571">
        <f>F49/60</f>
        <v/>
      </c>
      <c r="G56" s="572">
        <f>SUM(D56:F56)</f>
        <v/>
      </c>
      <c r="H56" s="573">
        <f>H49/60</f>
        <v/>
      </c>
      <c r="I56" s="587">
        <f>I49/60</f>
        <v/>
      </c>
      <c r="J56" s="588">
        <f>J49/60</f>
        <v/>
      </c>
      <c r="K56" s="575">
        <f>K49/60</f>
        <v/>
      </c>
      <c r="L56" s="586">
        <f>SUM(Table294[[#This Row],[Install]:[Call Center]])</f>
        <v/>
      </c>
    </row>
    <row r="57" hidden="1" ht="14.45" customHeight="1" s="433" thickBot="1">
      <c r="B57" s="291" t="n"/>
      <c r="C57" s="292" t="n"/>
      <c r="D57" s="589">
        <f>SUM(Table294[Integration])</f>
        <v/>
      </c>
      <c r="E57" s="590">
        <f>SUBTOTAL(109,Table294[Delivery])</f>
        <v/>
      </c>
      <c r="F57" s="591">
        <f>SUBTOTAL(109,Table294[title 60 months])</f>
        <v/>
      </c>
      <c r="G57" s="592">
        <f>SUBTOTAL(109,Table294[CSOW])</f>
        <v/>
      </c>
      <c r="H57" s="593">
        <f>SUBTOTAL(109,Table294[Install])</f>
        <v/>
      </c>
      <c r="I57" s="594">
        <f>SUBTOTAL(109,Table294[PMO])</f>
        <v/>
      </c>
      <c r="J57" s="595">
        <f>SUBTOTAL(109,Table294[Break/Fix])</f>
        <v/>
      </c>
      <c r="K57" s="596">
        <f>SUBTOTAL(109,Table294[Call Center])</f>
        <v/>
      </c>
      <c r="L57" s="597">
        <f>SUBTOTAL(109,Table294[CSOW2])</f>
        <v/>
      </c>
    </row>
    <row r="58" hidden="1" ht="14.45" customHeight="1" s="433" thickBot="1">
      <c r="B58" s="281" t="n"/>
      <c r="C58" s="282" t="inlineStr">
        <is>
          <t>SOW Total</t>
        </is>
      </c>
      <c r="D58" s="282" t="n"/>
      <c r="E58" s="598">
        <f>SUM(D50:F50,H50:K50)</f>
        <v/>
      </c>
      <c r="I58" s="486" t="n"/>
      <c r="J58" s="486" t="n"/>
      <c r="K58" s="486" t="n"/>
    </row>
    <row r="59" hidden="1" ht="14.45" customHeight="1" s="433" thickBot="1">
      <c r="C59" s="414" t="n"/>
      <c r="D59" s="414" t="n"/>
      <c r="F59" s="174" t="inlineStr">
        <is>
          <t>Monthly SOW Total</t>
        </is>
      </c>
      <c r="G59" s="599">
        <f>SUM(G57,L57)</f>
        <v/>
      </c>
      <c r="I59" s="486" t="n"/>
      <c r="J59" s="486" t="n"/>
      <c r="K59" s="486" t="n"/>
    </row>
    <row r="60" hidden="1" ht="14.45" customHeight="1" s="433" thickBot="1">
      <c r="B60" s="421" t="inlineStr">
        <is>
          <t>WWT Internal - Integration Cost</t>
        </is>
      </c>
      <c r="C60" s="451" t="n"/>
      <c r="D60" s="452" t="n"/>
      <c r="F60" s="172" t="inlineStr">
        <is>
          <t>Estimated VAT (Mo.)</t>
        </is>
      </c>
      <c r="G60" s="600">
        <f>I18*K41</f>
        <v/>
      </c>
      <c r="I60" s="601" t="inlineStr">
        <is>
          <t>Day2 Managed Service &amp; PMO</t>
        </is>
      </c>
      <c r="J60" s="602">
        <f>SUM(I50:K50)</f>
        <v/>
      </c>
      <c r="K60" s="486" t="n"/>
    </row>
    <row r="61" hidden="1" ht="14.45" customHeight="1" s="433" thickBot="1">
      <c r="B61" s="302" t="inlineStr">
        <is>
          <t>SKU</t>
        </is>
      </c>
      <c r="C61" s="448" t="inlineStr">
        <is>
          <t>Qty</t>
        </is>
      </c>
      <c r="D61" s="303" t="inlineStr">
        <is>
          <t>Integration Cost</t>
        </is>
      </c>
      <c r="F61" s="172" t="inlineStr">
        <is>
          <t>Total Vat</t>
        </is>
      </c>
      <c r="G61" s="600">
        <f>I19*K41</f>
        <v/>
      </c>
      <c r="I61" s="486" t="n"/>
      <c r="J61" s="486" t="n"/>
      <c r="K61" s="486" t="n"/>
    </row>
    <row r="62" hidden="1" s="433">
      <c r="B62" s="108" t="n"/>
      <c r="C62" s="178" t="n">
        <v>0</v>
      </c>
      <c r="D62" s="603">
        <f>23120.38*C62*K41</f>
        <v/>
      </c>
      <c r="F62" s="556" t="n"/>
      <c r="I62" s="486" t="n"/>
      <c r="J62" s="486" t="n"/>
      <c r="K62" s="486" t="n"/>
    </row>
    <row r="63" hidden="1" s="433">
      <c r="B63" s="108" t="inlineStr">
        <is>
          <t>GDCH Base Rack v2</t>
        </is>
      </c>
      <c r="C63" s="178" t="n">
        <v>1</v>
      </c>
      <c r="D63" s="603">
        <f>D21*K41</f>
        <v/>
      </c>
      <c r="F63" s="556" t="n"/>
      <c r="I63" s="486" t="n"/>
      <c r="J63" s="486" t="n"/>
      <c r="K63" s="486" t="n"/>
    </row>
    <row r="64" hidden="1" s="433">
      <c r="B64" s="108" t="inlineStr">
        <is>
          <t>GDC OIRv1 Rack</t>
        </is>
      </c>
      <c r="C64" s="178" t="n">
        <v>1</v>
      </c>
      <c r="D64" s="603">
        <f>D22*K41</f>
        <v/>
      </c>
      <c r="F64" s="556" t="n"/>
      <c r="I64" s="486" t="n"/>
      <c r="J64" s="486" t="n"/>
      <c r="K64" s="486" t="n"/>
    </row>
    <row r="65" hidden="1" ht="14.45" customHeight="1" s="433" thickBot="1">
      <c r="B65" s="108" t="inlineStr">
        <is>
          <t>GDCH Standard Compute Block</t>
        </is>
      </c>
      <c r="C65" s="178" t="n">
        <v>1</v>
      </c>
      <c r="D65" s="603">
        <f>D23*K41</f>
        <v/>
      </c>
      <c r="F65" s="556" t="n"/>
      <c r="I65" s="486" t="n"/>
      <c r="J65" s="486" t="n"/>
      <c r="K65" s="486" t="n"/>
    </row>
    <row r="66" hidden="1" ht="14.45" customHeight="1" s="433" thickBot="1">
      <c r="B66" s="291" t="n"/>
      <c r="C66" s="304" t="inlineStr">
        <is>
          <t>Total</t>
        </is>
      </c>
      <c r="D66" s="604">
        <f>SUBTOTAL(109,D62:D65)</f>
        <v/>
      </c>
      <c r="H66" s="523" t="inlineStr">
        <is>
          <t>Partner(s) Total Revenue</t>
        </is>
      </c>
      <c r="I66" s="486" t="n"/>
      <c r="J66" s="486" t="n"/>
      <c r="K66" s="486" t="n"/>
    </row>
    <row r="67" hidden="1" ht="14.45" customHeight="1" s="433" thickBot="1">
      <c r="C67" s="414" t="n"/>
      <c r="D67" s="414" t="n"/>
      <c r="H67" s="605">
        <f>SUM(H50,J50:K50)</f>
        <v/>
      </c>
      <c r="I67" s="486" t="n"/>
      <c r="J67" s="486" t="n"/>
      <c r="K67" s="486" t="n"/>
    </row>
    <row r="68" hidden="1" s="433">
      <c r="B68" s="419" t="inlineStr">
        <is>
          <t>Partner Cost</t>
        </is>
      </c>
      <c r="C68" s="449" t="n"/>
      <c r="D68" s="449" t="n"/>
      <c r="E68" s="449" t="n"/>
      <c r="F68" s="449" t="n"/>
      <c r="G68" s="306" t="inlineStr">
        <is>
          <t>Monthly</t>
        </is>
      </c>
      <c r="H68" s="451" t="n"/>
      <c r="I68" s="451" t="n"/>
      <c r="J68" s="452" t="n"/>
      <c r="K68" s="486" t="n"/>
      <c r="L68" s="486" t="n"/>
    </row>
    <row r="69" hidden="1" s="433">
      <c r="B69" s="307" t="inlineStr">
        <is>
          <t>SKU</t>
        </is>
      </c>
      <c r="C69" s="17" t="inlineStr">
        <is>
          <t>qty</t>
        </is>
      </c>
      <c r="D69" s="525" t="inlineStr">
        <is>
          <t xml:space="preserve">Install </t>
        </is>
      </c>
      <c r="E69" s="141" t="inlineStr">
        <is>
          <t>break fix</t>
        </is>
      </c>
      <c r="F69" s="135" t="inlineStr">
        <is>
          <t>call center</t>
        </is>
      </c>
      <c r="G69" s="162" t="inlineStr">
        <is>
          <t>Break fix2</t>
        </is>
      </c>
      <c r="H69" s="448" t="inlineStr">
        <is>
          <t>call center2</t>
        </is>
      </c>
      <c r="I69" s="448" t="inlineStr">
        <is>
          <t>Break/Fix &amp; Call Center Total</t>
        </is>
      </c>
      <c r="J69" s="303" t="inlineStr">
        <is>
          <t>Column1</t>
        </is>
      </c>
      <c r="K69" s="486" t="n"/>
    </row>
    <row r="70" hidden="1" s="433">
      <c r="B70" s="108" t="n"/>
      <c r="C70" s="178" t="n">
        <v>0</v>
      </c>
      <c r="D70" s="606">
        <f>D28*$K$41</f>
        <v/>
      </c>
      <c r="E70" s="606">
        <f>E28*$K$41</f>
        <v/>
      </c>
      <c r="F70" s="606">
        <f>F28*$K$41</f>
        <v/>
      </c>
      <c r="G70" s="602">
        <f>E70/60</f>
        <v/>
      </c>
      <c r="H70" s="602">
        <f>F70/60</f>
        <v/>
      </c>
      <c r="I70" s="602">
        <f>SUM(Table37126[[#This Row],[break fix]:[call center]])</f>
        <v/>
      </c>
      <c r="J70" s="308" t="n"/>
      <c r="K70" s="486" t="n"/>
    </row>
    <row r="71" hidden="1" s="433">
      <c r="B71" s="108" t="inlineStr">
        <is>
          <t>GDCH Base Rack v2</t>
        </is>
      </c>
      <c r="C71" s="178" t="n">
        <v>1</v>
      </c>
      <c r="D71" s="606">
        <f>D29*$K$41</f>
        <v/>
      </c>
      <c r="E71" s="606">
        <f>E29*$K$41</f>
        <v/>
      </c>
      <c r="F71" s="606">
        <f>F29*$K$41</f>
        <v/>
      </c>
      <c r="G71" s="602">
        <f>E71/60</f>
        <v/>
      </c>
      <c r="H71" s="602">
        <f>F71/60</f>
        <v/>
      </c>
      <c r="I71" s="602">
        <f>SUM(Table37126[[#This Row],[break fix]:[call center]])</f>
        <v/>
      </c>
      <c r="J71" s="308" t="n"/>
      <c r="K71" s="486" t="n"/>
    </row>
    <row r="72" hidden="1" s="433">
      <c r="B72" s="108" t="inlineStr">
        <is>
          <t>GDC OIRv1 Rack</t>
        </is>
      </c>
      <c r="C72" s="178" t="n">
        <v>1</v>
      </c>
      <c r="D72" s="606">
        <f>D30*$K$41</f>
        <v/>
      </c>
      <c r="E72" s="606">
        <f>E30*$K$41</f>
        <v/>
      </c>
      <c r="F72" s="606">
        <f>F30*$K$41</f>
        <v/>
      </c>
      <c r="G72" s="602">
        <f>E72/60</f>
        <v/>
      </c>
      <c r="H72" s="602">
        <f>F72/60</f>
        <v/>
      </c>
      <c r="I72" s="602">
        <f>SUM(Table37126[[#This Row],[break fix]:[call center]])</f>
        <v/>
      </c>
      <c r="J72" s="308" t="n"/>
      <c r="K72" s="486" t="n"/>
    </row>
    <row r="73" hidden="1" s="433">
      <c r="B73" s="108" t="inlineStr">
        <is>
          <t>GDCH Standard Compute Block</t>
        </is>
      </c>
      <c r="C73" s="178" t="n">
        <v>1</v>
      </c>
      <c r="D73" s="606" t="n">
        <v>0</v>
      </c>
      <c r="E73" s="607" t="n">
        <v>0</v>
      </c>
      <c r="F73" s="606">
        <f>F31*$K$41</f>
        <v/>
      </c>
      <c r="G73" s="602" t="n"/>
      <c r="H73" s="602">
        <f>Table37126[[#This Row],[call center]]/60</f>
        <v/>
      </c>
      <c r="I73" s="602">
        <f>SUM(Table37126[[#This Row],[break fix]:[call center]])</f>
        <v/>
      </c>
      <c r="J73" s="308" t="n"/>
      <c r="K73" s="486" t="n"/>
    </row>
    <row r="74" hidden="1" s="433">
      <c r="B74" s="309" t="n"/>
      <c r="C74" s="109" t="inlineStr">
        <is>
          <t>Totals</t>
        </is>
      </c>
      <c r="D74" s="608" t="n"/>
      <c r="E74" s="609" t="n"/>
      <c r="F74" s="610" t="n"/>
      <c r="G74" s="602" t="n"/>
      <c r="H74" s="602" t="n"/>
      <c r="I74" s="602" t="n"/>
      <c r="J74" s="308" t="n"/>
      <c r="K74" s="486" t="n"/>
    </row>
    <row r="75" hidden="1" s="433">
      <c r="B75" s="108" t="n"/>
      <c r="C75" s="109" t="n"/>
      <c r="D75" s="611">
        <f>SUBTOTAL(109,D70:D74)</f>
        <v/>
      </c>
      <c r="E75" s="611">
        <f>SUBTOTAL(109,E70:E74)</f>
        <v/>
      </c>
      <c r="F75" s="611">
        <f>SUBTOTAL(109,F70:F74)</f>
        <v/>
      </c>
      <c r="G75" s="602">
        <f>SUM(G70:G72)</f>
        <v/>
      </c>
      <c r="H75" s="602">
        <f>SUM(H70:H73)</f>
        <v/>
      </c>
      <c r="I75" s="602">
        <f>SUM(I70:I74)</f>
        <v/>
      </c>
      <c r="J75" s="561" t="n"/>
      <c r="K75" s="486" t="n"/>
    </row>
    <row r="76" hidden="1" ht="14.45" customHeight="1" s="433" thickBot="1">
      <c r="B76" s="291" t="n"/>
      <c r="C76" s="292" t="n"/>
      <c r="D76" s="612" t="n"/>
      <c r="E76" s="613" t="n"/>
      <c r="F76" s="614" t="n"/>
      <c r="G76" s="615" t="n"/>
      <c r="H76" s="615" t="n"/>
      <c r="I76" s="615" t="n"/>
      <c r="J76" s="566" t="n"/>
      <c r="K76" s="486" t="n"/>
    </row>
    <row r="77" hidden="1" ht="14.45" customHeight="1" s="433" thickBot="1">
      <c r="B77" s="32" t="inlineStr">
        <is>
          <t>PSOW Total</t>
        </is>
      </c>
      <c r="C77" s="603">
        <f>SUM(D75:F75)</f>
        <v/>
      </c>
      <c r="D77" s="616" t="n"/>
      <c r="E77" s="617" t="inlineStr">
        <is>
          <t>PSOW Monthly Invoice</t>
        </is>
      </c>
      <c r="F77" s="618">
        <f>SUM(E75:F75)/60</f>
        <v/>
      </c>
      <c r="G77" s="619" t="n"/>
      <c r="H77" s="619" t="n"/>
      <c r="I77" s="619" t="n"/>
      <c r="J77" s="486" t="n"/>
      <c r="K77" s="486" t="n"/>
    </row>
    <row r="78" hidden="1" s="433">
      <c r="B78" s="32" t="inlineStr">
        <is>
          <t>Travel Fee</t>
        </is>
      </c>
      <c r="C78" s="620" t="n"/>
      <c r="D78" s="414" t="n"/>
      <c r="I78" s="486" t="n"/>
      <c r="J78" s="486" t="n"/>
      <c r="K78" s="486" t="n"/>
    </row>
    <row r="79" hidden="1" ht="14.45" customHeight="1" s="433" thickBot="1">
      <c r="B79" s="251" t="inlineStr">
        <is>
          <t>Total</t>
        </is>
      </c>
      <c r="C79" s="618">
        <f>SUM(C77:C78)</f>
        <v/>
      </c>
      <c r="D79" s="414" t="n"/>
      <c r="I79" s="486" t="n"/>
      <c r="J79" s="486" t="n"/>
      <c r="K79" s="486" t="n"/>
    </row>
    <row r="80">
      <c r="C80" s="621" t="n"/>
      <c r="D80" s="414" t="n"/>
      <c r="I80" s="486" t="n"/>
      <c r="J80" s="486" t="n"/>
      <c r="K80" s="486" t="n"/>
    </row>
  </sheetData>
  <mergeCells count="10">
    <mergeCell ref="B68:F68"/>
    <mergeCell ref="B18:E18"/>
    <mergeCell ref="B60:D60"/>
    <mergeCell ref="D9:G9"/>
    <mergeCell ref="H9:K9"/>
    <mergeCell ref="M2:Q2"/>
    <mergeCell ref="B41:I42"/>
    <mergeCell ref="B26:F26"/>
    <mergeCell ref="D51:G51"/>
    <mergeCell ref="H51:K51"/>
  </mergeCells>
  <pageMargins left="0.7" right="0.7" top="0.75" bottom="0.75" header="0.3" footer="0.3"/>
  <pageSetup orientation="portrait"/>
  <headerFooter>
    <oddHeader/>
    <oddFooter>&amp;C&amp;"Calibri"&amp;10 &amp;K008000_x000d_# GENERAL</oddFooter>
    <evenHeader/>
    <evenFooter/>
    <firstHeader/>
    <firstFooter/>
  </headerFooter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B2:K58"/>
  <sheetViews>
    <sheetView showGridLines="0" workbookViewId="0">
      <selection activeCell="I52" sqref="I52"/>
    </sheetView>
  </sheetViews>
  <sheetFormatPr baseColWidth="8" defaultRowHeight="14.1"/>
  <cols>
    <col width="3.875" customWidth="1" style="433" min="1" max="1"/>
    <col width="32.375" customWidth="1" style="433" min="2" max="2"/>
    <col width="31.5" customWidth="1" style="433" min="3" max="3"/>
    <col width="18.125" customWidth="1" style="622" min="4" max="4"/>
    <col width="12.125" customWidth="1" style="433" min="5" max="5"/>
    <col width="12.375" bestFit="1" customWidth="1" style="486" min="6" max="6"/>
    <col width="15.625" customWidth="1" style="486" min="7" max="7"/>
    <col width="14.375" customWidth="1" style="433" min="8" max="8"/>
    <col width="13.875" customWidth="1" style="433" min="9" max="9"/>
  </cols>
  <sheetData>
    <row r="2" ht="18" customHeight="1" s="433">
      <c r="B2" s="434" t="inlineStr">
        <is>
          <t>Cost Breakdown - USD Tables</t>
        </is>
      </c>
      <c r="D2" s="622" t="n"/>
      <c r="F2" s="486" t="n"/>
      <c r="G2" s="486" t="n"/>
    </row>
    <row r="3">
      <c r="B3" s="453" t="inlineStr">
        <is>
          <t>Day 1 - Integration, Asset Holding, &amp; Delivery Services</t>
        </is>
      </c>
    </row>
    <row r="4">
      <c r="B4" s="423" t="inlineStr">
        <is>
          <t>Item</t>
        </is>
      </c>
      <c r="C4" s="422" t="n"/>
      <c r="E4" s="422" t="inlineStr">
        <is>
          <t>Qty</t>
        </is>
      </c>
      <c r="F4" s="623" t="inlineStr">
        <is>
          <t>Unit Cost</t>
        </is>
      </c>
      <c r="G4" s="623" t="inlineStr">
        <is>
          <t>Extended Cost</t>
        </is>
      </c>
      <c r="H4" s="623" t="inlineStr">
        <is>
          <t>Revenue</t>
        </is>
      </c>
      <c r="I4" s="623" t="inlineStr">
        <is>
          <t>GP</t>
        </is>
      </c>
      <c r="J4" s="623" t="inlineStr">
        <is>
          <t>GP%</t>
        </is>
      </c>
    </row>
    <row r="5">
      <c r="B5" s="241" t="inlineStr">
        <is>
          <t>Integration Services</t>
        </is>
      </c>
      <c r="D5" s="622" t="n"/>
      <c r="E5" s="16" t="n">
        <v>1</v>
      </c>
      <c r="F5" s="486">
        <f>'CSOW Pricing &amp; WWT Cost (2)'!D24</f>
        <v/>
      </c>
      <c r="G5" s="486">
        <f>F5*E5</f>
        <v/>
      </c>
      <c r="H5" s="486">
        <f>'CSOW Pricing &amp; WWT Cost (2)'!D8</f>
        <v/>
      </c>
      <c r="I5" s="486">
        <f>H5-G5</f>
        <v/>
      </c>
      <c r="J5" s="75">
        <f>I5/H5</f>
        <v/>
      </c>
    </row>
    <row r="6">
      <c r="B6" t="inlineStr">
        <is>
          <t>Title / Asset Holding Fee</t>
        </is>
      </c>
      <c r="D6" s="622" t="n"/>
      <c r="E6" s="16" t="n">
        <v>1</v>
      </c>
      <c r="F6" s="486" t="n">
        <v>0</v>
      </c>
      <c r="G6" s="486">
        <f>F6*E6</f>
        <v/>
      </c>
      <c r="H6" s="486">
        <f>'CSOW Pricing &amp; WWT Cost (2)'!F8</f>
        <v/>
      </c>
      <c r="I6" s="486">
        <f>H6-G6</f>
        <v/>
      </c>
      <c r="J6" s="75">
        <f>I6/H6</f>
        <v/>
      </c>
    </row>
    <row r="7" ht="14.45" customHeight="1" s="433" thickBot="1">
      <c r="B7" s="263" t="inlineStr">
        <is>
          <t>Crating and Delivery Fee</t>
        </is>
      </c>
      <c r="C7" s="263" t="n"/>
      <c r="D7" s="263" t="n"/>
      <c r="E7" s="275" t="n">
        <v>1</v>
      </c>
      <c r="F7" s="624">
        <f>'CSOW Pricing &amp; WWT Cost (2)'!E8</f>
        <v/>
      </c>
      <c r="G7" s="624">
        <f>F7*E7</f>
        <v/>
      </c>
      <c r="H7" s="624">
        <f>'CSOW Pricing &amp; WWT Cost (2)'!E8</f>
        <v/>
      </c>
      <c r="I7" s="624">
        <f>H7-G7</f>
        <v/>
      </c>
      <c r="J7" s="270">
        <f>I7/H7</f>
        <v/>
      </c>
    </row>
    <row r="8" ht="14.45" customHeight="1" s="433" thickTop="1">
      <c r="B8" s="423" t="inlineStr">
        <is>
          <t>Subtotals</t>
        </is>
      </c>
      <c r="G8" s="625">
        <f>SUM(G5:G7)</f>
        <v/>
      </c>
      <c r="H8" s="625">
        <f>SUM(H5:H7)</f>
        <v/>
      </c>
      <c r="I8" s="625">
        <f>SUM(I5:I7)</f>
        <v/>
      </c>
      <c r="J8" s="279">
        <f>I8/H8</f>
        <v/>
      </c>
    </row>
    <row r="9">
      <c r="D9" s="622" t="n"/>
      <c r="E9" s="16" t="n"/>
      <c r="F9" s="486" t="n"/>
      <c r="G9" s="486" t="n"/>
    </row>
    <row r="10">
      <c r="B10" s="453" t="inlineStr">
        <is>
          <t>Day 1 - Installation Services (Partner Delievered)</t>
        </is>
      </c>
    </row>
    <row r="11">
      <c r="B11" s="423" t="inlineStr">
        <is>
          <t>Partner Organization</t>
        </is>
      </c>
      <c r="C11" s="422" t="inlineStr">
        <is>
          <t>Services Provided</t>
        </is>
      </c>
      <c r="D11" s="422" t="inlineStr">
        <is>
          <t>Comment</t>
        </is>
      </c>
      <c r="E11" s="422" t="inlineStr">
        <is>
          <t>Qty A</t>
        </is>
      </c>
      <c r="F11" s="623" t="inlineStr">
        <is>
          <t>Unit Cost</t>
        </is>
      </c>
      <c r="G11" s="623" t="inlineStr">
        <is>
          <t>Extended Cost</t>
        </is>
      </c>
      <c r="H11" s="623" t="inlineStr">
        <is>
          <t>Revenue</t>
        </is>
      </c>
      <c r="I11" s="623" t="inlineStr">
        <is>
          <t>GP</t>
        </is>
      </c>
      <c r="J11" s="623" t="inlineStr">
        <is>
          <t>GP%</t>
        </is>
      </c>
    </row>
    <row r="12" ht="14.45" customHeight="1" s="433" thickBot="1">
      <c r="B12" s="263">
        <f>'Estimator Input'!C11</f>
        <v/>
      </c>
      <c r="C12" s="263" t="inlineStr">
        <is>
          <t>Installation Services</t>
        </is>
      </c>
      <c r="D12" s="263" t="inlineStr">
        <is>
          <t>Onsite Install</t>
        </is>
      </c>
      <c r="E12" s="272" t="n">
        <v>1</v>
      </c>
      <c r="F12" s="626">
        <f>'CSOW Pricing &amp; WWT Cost (2)'!D34</f>
        <v/>
      </c>
      <c r="G12" s="627">
        <f>E12*F12</f>
        <v/>
      </c>
      <c r="H12" s="624">
        <f>'CSOW Pricing &amp; WWT Cost (2)'!H8</f>
        <v/>
      </c>
      <c r="I12" s="624">
        <f>H12-G12</f>
        <v/>
      </c>
      <c r="J12" s="270">
        <f>I12/H12</f>
        <v/>
      </c>
    </row>
    <row r="13" ht="14.45" customHeight="1" s="433" thickTop="1">
      <c r="B13" s="423" t="inlineStr">
        <is>
          <t>Subtotals</t>
        </is>
      </c>
      <c r="G13" s="625">
        <f>SUM(G12)</f>
        <v/>
      </c>
      <c r="H13" s="625">
        <f>SUM(H12)</f>
        <v/>
      </c>
      <c r="I13" s="625">
        <f>SUM(I12)</f>
        <v/>
      </c>
      <c r="J13" s="279">
        <f>I13/H13</f>
        <v/>
      </c>
      <c r="K13" s="625" t="n"/>
    </row>
    <row r="14">
      <c r="B14" s="422" t="n"/>
      <c r="C14" s="628" t="n"/>
      <c r="D14" s="622" t="n"/>
      <c r="E14" s="16" t="n"/>
      <c r="F14" s="629" t="n"/>
      <c r="G14" s="486" t="n"/>
    </row>
    <row r="15">
      <c r="B15" s="453" t="inlineStr">
        <is>
          <t>Day 2 - WWT PMO Services</t>
        </is>
      </c>
    </row>
    <row r="16">
      <c r="B16" s="235" t="inlineStr">
        <is>
          <t>Role</t>
        </is>
      </c>
      <c r="C16" s="233" t="inlineStr">
        <is>
          <t>Cost Center</t>
        </is>
      </c>
      <c r="D16" s="630" t="n"/>
      <c r="E16" s="233" t="inlineStr">
        <is>
          <t>Hours</t>
        </is>
      </c>
      <c r="F16" s="631" t="inlineStr">
        <is>
          <t>2026 Cost</t>
        </is>
      </c>
      <c r="G16" s="623" t="inlineStr">
        <is>
          <t>Extended Cost</t>
        </is>
      </c>
      <c r="H16" s="623" t="inlineStr">
        <is>
          <t>Revenue</t>
        </is>
      </c>
      <c r="I16" s="623" t="inlineStr">
        <is>
          <t>GP</t>
        </is>
      </c>
      <c r="J16" s="623" t="inlineStr">
        <is>
          <t>GP%</t>
        </is>
      </c>
    </row>
    <row r="17" ht="14.45" customHeight="1" s="433" thickBot="1">
      <c r="B17" s="263">
        <f>'Estimator Input'!C10</f>
        <v/>
      </c>
      <c r="C17" s="264">
        <f>IFERROR(VLOOKUP(B17,'PMO Resources'!C3:E14,2,FALSE),"")</f>
        <v/>
      </c>
      <c r="D17" s="632" t="n"/>
      <c r="E17" s="266">
        <f>ROUND('PMO Resources'!E19/F17,0)</f>
        <v/>
      </c>
      <c r="F17" s="633">
        <f>IFERROR(VLOOKUP(B17,'PMO Resources'!C3:E14,3,FALSE),"")</f>
        <v/>
      </c>
      <c r="G17" s="634">
        <f>E17*F17</f>
        <v/>
      </c>
      <c r="H17" s="624">
        <f>'CSOW Pricing &amp; WWT Cost (2)'!I8</f>
        <v/>
      </c>
      <c r="I17" s="624">
        <f>H17-G17</f>
        <v/>
      </c>
      <c r="J17" s="270">
        <f>I17/H17</f>
        <v/>
      </c>
    </row>
    <row r="18" ht="14.45" customHeight="1" s="433" thickTop="1">
      <c r="B18" s="423" t="inlineStr">
        <is>
          <t>Subtotals</t>
        </is>
      </c>
      <c r="G18" s="625">
        <f>SUM(G17:G17)</f>
        <v/>
      </c>
      <c r="H18" s="625">
        <f>SUM(H17:H17)</f>
        <v/>
      </c>
      <c r="I18" s="625">
        <f>SUM(I17:I17)</f>
        <v/>
      </c>
      <c r="J18" s="279">
        <f>I18/H18</f>
        <v/>
      </c>
    </row>
    <row r="19">
      <c r="B19" s="422" t="n"/>
      <c r="C19" s="628" t="n"/>
      <c r="D19" s="622" t="n"/>
      <c r="E19" s="16" t="n"/>
      <c r="F19" s="629" t="n"/>
      <c r="G19" s="486" t="n"/>
    </row>
    <row r="20">
      <c r="B20" s="453" t="inlineStr">
        <is>
          <t>Day 2 -  Break/Fix &amp; Call Center Services (Partner Delivered)</t>
        </is>
      </c>
    </row>
    <row r="21">
      <c r="B21" s="423" t="inlineStr">
        <is>
          <t>Partner Organization</t>
        </is>
      </c>
      <c r="C21" s="422" t="inlineStr">
        <is>
          <t>Services Provided</t>
        </is>
      </c>
      <c r="D21" s="422" t="inlineStr">
        <is>
          <t>Comment</t>
        </is>
      </c>
      <c r="E21" s="422" t="inlineStr">
        <is>
          <t>Qty A</t>
        </is>
      </c>
      <c r="F21" s="623" t="inlineStr">
        <is>
          <t>Unit Cost</t>
        </is>
      </c>
      <c r="G21" s="623" t="inlineStr">
        <is>
          <t>Extended Cost</t>
        </is>
      </c>
      <c r="H21" s="623" t="inlineStr">
        <is>
          <t>Revenue</t>
        </is>
      </c>
      <c r="I21" s="623" t="inlineStr">
        <is>
          <t>GP</t>
        </is>
      </c>
      <c r="J21" s="623" t="inlineStr">
        <is>
          <t>GP%</t>
        </is>
      </c>
    </row>
    <row r="22">
      <c r="B22">
        <f>'Estimator Input'!C12</f>
        <v/>
      </c>
      <c r="C22" t="inlineStr">
        <is>
          <t>Day 2 support</t>
        </is>
      </c>
      <c r="D22" t="inlineStr">
        <is>
          <t>Break/Fix</t>
        </is>
      </c>
      <c r="E22" s="167" t="n">
        <v>1</v>
      </c>
      <c r="F22" s="635">
        <f>'CSOW Pricing &amp; WWT Cost (2)'!E34</f>
        <v/>
      </c>
      <c r="G22" s="636">
        <f>E22*F22</f>
        <v/>
      </c>
      <c r="H22" s="486">
        <f>'CSOW Pricing &amp; WWT Cost (2)'!J8</f>
        <v/>
      </c>
      <c r="I22" s="486">
        <f>H22-G22</f>
        <v/>
      </c>
      <c r="J22" s="75">
        <f>I22/H22</f>
        <v/>
      </c>
    </row>
    <row r="23">
      <c r="B23">
        <f>'Estimator Input'!C13</f>
        <v/>
      </c>
      <c r="C23" t="inlineStr">
        <is>
          <t>Day 2 support</t>
        </is>
      </c>
      <c r="D23" t="inlineStr">
        <is>
          <t>Call Center</t>
        </is>
      </c>
      <c r="E23" s="167" t="n">
        <v>1</v>
      </c>
      <c r="F23" s="635">
        <f>'CSOW Pricing &amp; WWT Cost (2)'!E24</f>
        <v/>
      </c>
      <c r="G23" s="636">
        <f>E23*F23</f>
        <v/>
      </c>
      <c r="H23" s="486">
        <f>'CSOW Pricing &amp; WWT Cost (2)'!K8</f>
        <v/>
      </c>
      <c r="I23" s="486">
        <f>H23-G23</f>
        <v/>
      </c>
      <c r="J23" s="75">
        <f>I23/H23</f>
        <v/>
      </c>
    </row>
    <row r="24" ht="14.45" customHeight="1" s="433" thickBot="1">
      <c r="B24" s="271" t="n"/>
      <c r="C24" s="263" t="inlineStr">
        <is>
          <t>Travel</t>
        </is>
      </c>
      <c r="D24" s="263" t="inlineStr">
        <is>
          <t>Travel Budget</t>
        </is>
      </c>
      <c r="E24" s="272" t="n">
        <v>1</v>
      </c>
      <c r="F24" s="626">
        <f>'CSOW Pricing &amp; WWT Cost (2)'!C37</f>
        <v/>
      </c>
      <c r="G24" s="627">
        <f>E24*F24</f>
        <v/>
      </c>
      <c r="H24" s="624">
        <f>'CSOW Pricing &amp; WWT Cost (2)'!C37</f>
        <v/>
      </c>
      <c r="I24" s="624">
        <f>H24-G24</f>
        <v/>
      </c>
      <c r="J24" s="270">
        <f>I24/H24</f>
        <v/>
      </c>
    </row>
    <row r="25" ht="14.45" customHeight="1" s="433" thickTop="1">
      <c r="B25" s="423" t="inlineStr">
        <is>
          <t>Subtotals</t>
        </is>
      </c>
      <c r="G25" s="625">
        <f>SUM(G22:G24)</f>
        <v/>
      </c>
      <c r="H25" s="625">
        <f>SUM(H22:H24)</f>
        <v/>
      </c>
      <c r="I25" s="625">
        <f>SUM(I22:I24)</f>
        <v/>
      </c>
      <c r="J25" s="279">
        <f>I25/H25</f>
        <v/>
      </c>
      <c r="K25" s="625" t="n"/>
    </row>
    <row r="26">
      <c r="B26" s="422" t="n"/>
      <c r="C26" s="628" t="n"/>
      <c r="D26" s="622" t="n"/>
      <c r="E26" s="16" t="n"/>
      <c r="F26" s="629" t="n"/>
      <c r="G26" s="486" t="n"/>
    </row>
    <row r="27" ht="15.6" customHeight="1" s="433">
      <c r="B27" s="455" t="inlineStr">
        <is>
          <t>Deal Total (USD)</t>
        </is>
      </c>
      <c r="C27" s="455" t="n"/>
      <c r="E27" s="455" t="n"/>
      <c r="F27" s="637" t="n"/>
      <c r="G27" s="637">
        <f>SUM(G18,G13,G25,G8)</f>
        <v/>
      </c>
      <c r="H27" s="637">
        <f>SUM(H18,H13,H25,H8)</f>
        <v/>
      </c>
      <c r="I27" s="637">
        <f>SUM(I18,I13,I25,I8)</f>
        <v/>
      </c>
      <c r="J27" s="339">
        <f>I27/H27</f>
        <v/>
      </c>
    </row>
    <row r="30" ht="18" customHeight="1" s="433">
      <c r="B30" s="434" t="inlineStr">
        <is>
          <t>Cost Breakdown - Currency Conversion Tables</t>
        </is>
      </c>
      <c r="D30" s="622" t="n"/>
      <c r="F30" s="486" t="n"/>
      <c r="G30" s="486" t="n"/>
    </row>
    <row r="31">
      <c r="B31" s="456" t="inlineStr">
        <is>
          <t>Day 1 - Integration, Asset Holding, &amp; Delivery Services</t>
        </is>
      </c>
    </row>
    <row r="32">
      <c r="B32" s="423" t="inlineStr">
        <is>
          <t>Item</t>
        </is>
      </c>
      <c r="C32" s="422" t="n"/>
      <c r="E32" s="422" t="inlineStr">
        <is>
          <t>Qty</t>
        </is>
      </c>
      <c r="F32" s="623" t="inlineStr">
        <is>
          <t>Unit Cost</t>
        </is>
      </c>
      <c r="G32" s="623" t="inlineStr">
        <is>
          <t>Extended Cost</t>
        </is>
      </c>
      <c r="H32" s="623" t="inlineStr">
        <is>
          <t>Revenue</t>
        </is>
      </c>
      <c r="I32" s="623" t="inlineStr">
        <is>
          <t>GP</t>
        </is>
      </c>
      <c r="J32" s="623" t="inlineStr">
        <is>
          <t>GP%</t>
        </is>
      </c>
    </row>
    <row r="33">
      <c r="B33" s="241" t="inlineStr">
        <is>
          <t>Integration Services</t>
        </is>
      </c>
      <c r="D33" s="622" t="n"/>
      <c r="E33" s="16" t="n">
        <v>1</v>
      </c>
      <c r="F33" s="486">
        <f>F5*'Estimator Input'!$C$9</f>
        <v/>
      </c>
      <c r="G33" s="486">
        <f>G5*'Estimator Input'!$C$9</f>
        <v/>
      </c>
      <c r="H33" s="486">
        <f>H5*'Estimator Input'!$C$9</f>
        <v/>
      </c>
      <c r="I33" s="486">
        <f>I5*'Estimator Input'!$C$9</f>
        <v/>
      </c>
      <c r="J33" s="75">
        <f>I33/H33</f>
        <v/>
      </c>
    </row>
    <row r="34">
      <c r="B34" t="inlineStr">
        <is>
          <t>Title / Asset Holding Fee</t>
        </is>
      </c>
      <c r="D34" s="622" t="n"/>
      <c r="E34" s="16" t="n">
        <v>1</v>
      </c>
      <c r="F34" s="486">
        <f>F6*'Estimator Input'!$C$9</f>
        <v/>
      </c>
      <c r="G34" s="486">
        <f>G6*'Estimator Input'!$C$9</f>
        <v/>
      </c>
      <c r="H34" s="486">
        <f>H6*'Estimator Input'!$C$9</f>
        <v/>
      </c>
      <c r="I34" s="486">
        <f>I6*'Estimator Input'!$C$9</f>
        <v/>
      </c>
      <c r="J34" s="75">
        <f>I34/H34</f>
        <v/>
      </c>
    </row>
    <row r="35" ht="14.45" customHeight="1" s="433" thickBot="1">
      <c r="B35" s="263" t="inlineStr">
        <is>
          <t>Crating and Delivery Fee</t>
        </is>
      </c>
      <c r="C35" s="263" t="n"/>
      <c r="D35" s="263" t="n"/>
      <c r="E35" s="275" t="n">
        <v>1</v>
      </c>
      <c r="F35" s="624">
        <f>F7*'Estimator Input'!$C$9</f>
        <v/>
      </c>
      <c r="G35" s="624">
        <f>G7*'Estimator Input'!$C$9</f>
        <v/>
      </c>
      <c r="H35" s="624">
        <f>H7*'Estimator Input'!$C$9</f>
        <v/>
      </c>
      <c r="I35" s="624">
        <f>I7*'Estimator Input'!$C$9</f>
        <v/>
      </c>
      <c r="J35" s="270">
        <f>I35/H35</f>
        <v/>
      </c>
    </row>
    <row r="36" ht="14.45" customHeight="1" s="433" thickTop="1">
      <c r="B36" s="423" t="inlineStr">
        <is>
          <t>Subtotals</t>
        </is>
      </c>
      <c r="G36" s="625">
        <f>G8*'Estimator Input'!$C$9</f>
        <v/>
      </c>
      <c r="H36" s="625">
        <f>H8*'Estimator Input'!$C$9</f>
        <v/>
      </c>
      <c r="I36" s="625">
        <f>I8*'Estimator Input'!$C$9</f>
        <v/>
      </c>
      <c r="J36" s="279">
        <f>I36/H36</f>
        <v/>
      </c>
    </row>
    <row r="37">
      <c r="D37" s="622" t="n"/>
      <c r="E37" s="16" t="n"/>
      <c r="F37" s="486" t="n"/>
      <c r="G37" s="486" t="n"/>
    </row>
    <row r="38">
      <c r="B38" s="456" t="inlineStr">
        <is>
          <t>Day 1 - Installation Services (Partner Delievered)</t>
        </is>
      </c>
    </row>
    <row r="39">
      <c r="B39" s="423" t="inlineStr">
        <is>
          <t>Partner Organization</t>
        </is>
      </c>
      <c r="C39" s="422" t="inlineStr">
        <is>
          <t>Services Provided</t>
        </is>
      </c>
      <c r="D39" s="422" t="inlineStr">
        <is>
          <t>Comment</t>
        </is>
      </c>
      <c r="E39" s="422" t="inlineStr">
        <is>
          <t>Qty A</t>
        </is>
      </c>
      <c r="F39" s="623" t="inlineStr">
        <is>
          <t>Unit Cost</t>
        </is>
      </c>
      <c r="G39" s="623" t="inlineStr">
        <is>
          <t>Extended Cost</t>
        </is>
      </c>
      <c r="H39" s="623" t="inlineStr">
        <is>
          <t>Revenue</t>
        </is>
      </c>
      <c r="I39" s="623" t="inlineStr">
        <is>
          <t>GP</t>
        </is>
      </c>
      <c r="J39" s="623" t="inlineStr">
        <is>
          <t>GP%</t>
        </is>
      </c>
    </row>
    <row r="40" ht="14.45" customHeight="1" s="433" thickBot="1">
      <c r="B40" s="263">
        <f>'Estimator Input'!C39</f>
        <v/>
      </c>
      <c r="C40" s="263" t="inlineStr">
        <is>
          <t>Installation Services</t>
        </is>
      </c>
      <c r="D40" s="263" t="inlineStr">
        <is>
          <t>Onsite Install</t>
        </is>
      </c>
      <c r="E40" s="272" t="n">
        <v>1</v>
      </c>
      <c r="F40" s="626">
        <f>F12*'Estimator Input'!$C$9</f>
        <v/>
      </c>
      <c r="G40" s="626">
        <f>G12*'Estimator Input'!$C$9</f>
        <v/>
      </c>
      <c r="H40" s="626">
        <f>H12*'Estimator Input'!$C$9</f>
        <v/>
      </c>
      <c r="I40" s="626">
        <f>I12*'Estimator Input'!$C$9</f>
        <v/>
      </c>
      <c r="J40" s="270">
        <f>I40/H40</f>
        <v/>
      </c>
    </row>
    <row r="41" ht="14.45" customHeight="1" s="433" thickTop="1">
      <c r="B41" s="423" t="inlineStr">
        <is>
          <t>Subtotals</t>
        </is>
      </c>
      <c r="G41" s="625">
        <f>G13*'Estimator Input'!$C$9</f>
        <v/>
      </c>
      <c r="H41" s="625">
        <f>H13*'Estimator Input'!$C$9</f>
        <v/>
      </c>
      <c r="I41" s="625">
        <f>I13*'Estimator Input'!$C$9</f>
        <v/>
      </c>
      <c r="J41" s="279">
        <f>I41/H41</f>
        <v/>
      </c>
      <c r="K41" s="625" t="n"/>
    </row>
    <row r="42">
      <c r="B42" s="422" t="n"/>
      <c r="C42" s="628" t="n"/>
      <c r="D42" s="622" t="n"/>
      <c r="E42" s="16" t="n"/>
      <c r="F42" s="629" t="n"/>
      <c r="G42" s="486" t="n"/>
    </row>
    <row r="43">
      <c r="B43" s="456" t="inlineStr">
        <is>
          <t>Day 2 - WWT PMO Services</t>
        </is>
      </c>
    </row>
    <row r="44">
      <c r="B44" s="235" t="inlineStr">
        <is>
          <t>Role</t>
        </is>
      </c>
      <c r="C44" s="233" t="inlineStr">
        <is>
          <t>Cost Center</t>
        </is>
      </c>
      <c r="D44" s="630" t="n"/>
      <c r="E44" s="233" t="inlineStr">
        <is>
          <t>Hours</t>
        </is>
      </c>
      <c r="F44" s="631" t="inlineStr">
        <is>
          <t>2025 Cost</t>
        </is>
      </c>
      <c r="G44" s="623" t="inlineStr">
        <is>
          <t>Extended Cost</t>
        </is>
      </c>
      <c r="H44" s="623" t="inlineStr">
        <is>
          <t>Revenue</t>
        </is>
      </c>
      <c r="I44" s="623" t="inlineStr">
        <is>
          <t>GP</t>
        </is>
      </c>
      <c r="J44" s="623" t="inlineStr">
        <is>
          <t>GP%</t>
        </is>
      </c>
    </row>
    <row r="45" ht="14.45" customHeight="1" s="433" thickBot="1">
      <c r="B45" s="263">
        <f>'Estimator Input'!C37</f>
        <v/>
      </c>
      <c r="C45" s="264">
        <f>IFERROR(VLOOKUP(B45,'PMO Resources'!C31:E41,2,FALSE),"")</f>
        <v/>
      </c>
      <c r="D45" s="632" t="n"/>
      <c r="E45" s="266">
        <f>E17</f>
        <v/>
      </c>
      <c r="F45" s="633">
        <f>F17*'Estimator Input'!$C$9</f>
        <v/>
      </c>
      <c r="G45" s="633">
        <f>G17*'Estimator Input'!$C$9</f>
        <v/>
      </c>
      <c r="H45" s="633">
        <f>H17*'Estimator Input'!$C$9</f>
        <v/>
      </c>
      <c r="I45" s="633">
        <f>I17*'Estimator Input'!$C$9</f>
        <v/>
      </c>
      <c r="J45" s="270">
        <f>I45/H45</f>
        <v/>
      </c>
    </row>
    <row r="46" ht="14.45" customHeight="1" s="433" thickTop="1">
      <c r="B46" s="423" t="inlineStr">
        <is>
          <t>Subtotals</t>
        </is>
      </c>
      <c r="G46" s="625">
        <f>G18*'Estimator Input'!$C$9</f>
        <v/>
      </c>
      <c r="H46" s="625">
        <f>H18*'Estimator Input'!$C$9</f>
        <v/>
      </c>
      <c r="I46" s="625">
        <f>I18*'Estimator Input'!$C$9</f>
        <v/>
      </c>
      <c r="J46" s="279">
        <f>I46/H46</f>
        <v/>
      </c>
    </row>
    <row r="47">
      <c r="B47" s="422" t="n"/>
      <c r="C47" s="628" t="n"/>
      <c r="D47" s="622" t="n"/>
      <c r="E47" s="16" t="n"/>
      <c r="F47" s="629" t="n"/>
      <c r="G47" s="486" t="n"/>
    </row>
    <row r="48">
      <c r="B48" s="456" t="inlineStr">
        <is>
          <t>Day 2 -  Break/Fix &amp; Call Center Services (Partner Delivered)</t>
        </is>
      </c>
    </row>
    <row r="49">
      <c r="B49" s="423" t="inlineStr">
        <is>
          <t>Partner Organization</t>
        </is>
      </c>
      <c r="C49" s="422" t="inlineStr">
        <is>
          <t>Services Provided</t>
        </is>
      </c>
      <c r="D49" s="422" t="inlineStr">
        <is>
          <t>Comment</t>
        </is>
      </c>
      <c r="E49" s="422" t="inlineStr">
        <is>
          <t>Qty A</t>
        </is>
      </c>
      <c r="F49" s="623" t="inlineStr">
        <is>
          <t>Unit Cost</t>
        </is>
      </c>
      <c r="G49" s="623" t="inlineStr">
        <is>
          <t>Extended Cost</t>
        </is>
      </c>
      <c r="H49" s="623" t="inlineStr">
        <is>
          <t>Revenue</t>
        </is>
      </c>
      <c r="I49" s="623" t="inlineStr">
        <is>
          <t>GP</t>
        </is>
      </c>
      <c r="J49" s="623" t="inlineStr">
        <is>
          <t>GP%</t>
        </is>
      </c>
    </row>
    <row r="50">
      <c r="B50">
        <f>'Estimator Input'!C40</f>
        <v/>
      </c>
      <c r="C50" t="inlineStr">
        <is>
          <t>Day 2 support</t>
        </is>
      </c>
      <c r="D50" t="inlineStr">
        <is>
          <t>Break/Fix</t>
        </is>
      </c>
      <c r="E50" s="167" t="n">
        <v>1</v>
      </c>
      <c r="F50" s="635">
        <f>F22*'Estimator Input'!$C$9</f>
        <v/>
      </c>
      <c r="G50" s="636">
        <f>G22*'Estimator Input'!$C$9</f>
        <v/>
      </c>
      <c r="H50" s="486">
        <f>H22*'Estimator Input'!$C$9</f>
        <v/>
      </c>
      <c r="I50" s="486">
        <f>I22*'Estimator Input'!$C$9</f>
        <v/>
      </c>
      <c r="J50" s="75">
        <f>I50/H50</f>
        <v/>
      </c>
    </row>
    <row r="51">
      <c r="B51">
        <f>'Estimator Input'!C41</f>
        <v/>
      </c>
      <c r="C51" t="inlineStr">
        <is>
          <t>Day 2 support</t>
        </is>
      </c>
      <c r="D51" t="inlineStr">
        <is>
          <t>Call Center</t>
        </is>
      </c>
      <c r="E51" s="167" t="n">
        <v>1</v>
      </c>
      <c r="F51" s="635">
        <f>F23*'Estimator Input'!$C$9</f>
        <v/>
      </c>
      <c r="G51" s="636">
        <f>G23*'Estimator Input'!$C$9</f>
        <v/>
      </c>
      <c r="H51" s="486">
        <f>H23*'Estimator Input'!$C$9</f>
        <v/>
      </c>
      <c r="I51" s="486">
        <f>I23*'Estimator Input'!$C$9</f>
        <v/>
      </c>
      <c r="J51" s="75">
        <f>I51/H51</f>
        <v/>
      </c>
    </row>
    <row r="52" ht="14.45" customHeight="1" s="433" thickBot="1">
      <c r="B52" s="271" t="n"/>
      <c r="C52" s="263" t="inlineStr">
        <is>
          <t>Travel</t>
        </is>
      </c>
      <c r="D52" s="263" t="inlineStr">
        <is>
          <t>Travel Budget</t>
        </is>
      </c>
      <c r="E52" s="272" t="n">
        <v>1</v>
      </c>
      <c r="F52" s="626">
        <f>F24*'Estimator Input'!$C$9</f>
        <v/>
      </c>
      <c r="G52" s="627">
        <f>G24*'Estimator Input'!$C$9</f>
        <v/>
      </c>
      <c r="H52" s="624">
        <f>H24*'Estimator Input'!$C$9</f>
        <v/>
      </c>
      <c r="I52" s="624">
        <f>I24*'Estimator Input'!$C$9</f>
        <v/>
      </c>
      <c r="J52" s="270">
        <f>I52/H52</f>
        <v/>
      </c>
    </row>
    <row r="53" ht="14.45" customHeight="1" s="433" thickTop="1">
      <c r="B53" s="423" t="inlineStr">
        <is>
          <t>Subtotals</t>
        </is>
      </c>
      <c r="G53" s="625">
        <f>G25*'Estimator Input'!$C$9</f>
        <v/>
      </c>
      <c r="H53" s="625">
        <f>H25*'Estimator Input'!$C$9</f>
        <v/>
      </c>
      <c r="I53" s="625">
        <f>I25*'Estimator Input'!$C$9</f>
        <v/>
      </c>
      <c r="J53" s="279">
        <f>I53/H53</f>
        <v/>
      </c>
      <c r="K53" s="625" t="n"/>
    </row>
    <row r="54">
      <c r="B54" s="422" t="n"/>
      <c r="C54" s="628" t="n"/>
      <c r="D54" s="622" t="n"/>
      <c r="E54" s="16" t="n"/>
      <c r="F54" s="629" t="n"/>
      <c r="G54" s="486" t="n"/>
    </row>
    <row r="55" ht="15.6" customHeight="1" s="433">
      <c r="B55" s="457" t="inlineStr">
        <is>
          <t>Deal Total (USD)</t>
        </is>
      </c>
      <c r="C55" s="457" t="n"/>
      <c r="E55" s="457" t="n"/>
      <c r="F55" s="638" t="n"/>
      <c r="G55" s="638">
        <f>G27*'Estimator Input'!$C$9</f>
        <v/>
      </c>
      <c r="H55" s="638">
        <f>H27*'Estimator Input'!$C$9</f>
        <v/>
      </c>
      <c r="I55" s="638">
        <f>I27*'Estimator Input'!$C$9</f>
        <v/>
      </c>
      <c r="J55" s="337">
        <f>I55/H55</f>
        <v/>
      </c>
    </row>
    <row r="58" ht="35.25" customHeight="1" s="433">
      <c r="D58" s="622" t="n"/>
      <c r="F58" s="486" t="n"/>
      <c r="G58" s="486" t="n"/>
    </row>
  </sheetData>
  <mergeCells count="20">
    <mergeCell ref="B25:F25"/>
    <mergeCell ref="B46:F46"/>
    <mergeCell ref="B18:F18"/>
    <mergeCell ref="B38:J38"/>
    <mergeCell ref="C4:D4"/>
    <mergeCell ref="B10:J10"/>
    <mergeCell ref="C55:D55"/>
    <mergeCell ref="B8:F8"/>
    <mergeCell ref="B13:F13"/>
    <mergeCell ref="B15:J15"/>
    <mergeCell ref="B53:F53"/>
    <mergeCell ref="B20:J20"/>
    <mergeCell ref="C27:D27"/>
    <mergeCell ref="B3:J3"/>
    <mergeCell ref="C32:D32"/>
    <mergeCell ref="B31:J31"/>
    <mergeCell ref="B36:F36"/>
    <mergeCell ref="B43:J43"/>
    <mergeCell ref="B41:F41"/>
    <mergeCell ref="B48:J48"/>
  </mergeCells>
  <conditionalFormatting sqref="B6:B7 B22:B23 D22">
    <cfRule type="cellIs" priority="13" operator="equal" dxfId="8">
      <formula>"DHPROGRAM.ProgramManager"</formula>
    </cfRule>
  </conditionalFormatting>
  <conditionalFormatting sqref="D23:D24">
    <cfRule type="cellIs" priority="12" operator="equal" dxfId="8">
      <formula>"DHPROGRAM.ProgramManager"</formula>
    </cfRule>
  </conditionalFormatting>
  <conditionalFormatting sqref="B17">
    <cfRule type="cellIs" priority="7" operator="equal" dxfId="8">
      <formula>"DHPROGRAM.ProgramManager"</formula>
    </cfRule>
  </conditionalFormatting>
  <conditionalFormatting sqref="B12 D12">
    <cfRule type="cellIs" priority="5" operator="equal" dxfId="8">
      <formula>"DHPROGRAM.ProgramManager"</formula>
    </cfRule>
  </conditionalFormatting>
  <conditionalFormatting sqref="B34:B35 B50:B51 D50">
    <cfRule type="cellIs" priority="4" operator="equal" dxfId="8">
      <formula>"DHPROGRAM.ProgramManager"</formula>
    </cfRule>
  </conditionalFormatting>
  <conditionalFormatting sqref="D51:D52">
    <cfRule type="cellIs" priority="3" operator="equal" dxfId="8">
      <formula>"DHPROGRAM.ProgramManager"</formula>
    </cfRule>
  </conditionalFormatting>
  <conditionalFormatting sqref="B45">
    <cfRule type="cellIs" priority="2" operator="equal" dxfId="8">
      <formula>"DHPROGRAM.ProgramManager"</formula>
    </cfRule>
  </conditionalFormatting>
  <conditionalFormatting sqref="B40 D40">
    <cfRule type="cellIs" priority="1" operator="equal" dxfId="8">
      <formula>"DHPROGRAM.ProgramManager"</formula>
    </cfRule>
  </conditionalFormatting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I12" sqref="I12"/>
    </sheetView>
  </sheetViews>
  <sheetFormatPr baseColWidth="8" defaultRowHeight="14.1"/>
  <sheetData>
    <row r="2">
      <c r="B2" t="inlineStr">
        <is>
          <t>Changelog (11/13/2025)</t>
        </is>
      </c>
    </row>
    <row r="3">
      <c r="B3" t="inlineStr">
        <is>
          <t>1) Added SDaaS</t>
        </is>
      </c>
    </row>
    <row r="4">
      <c r="B4" t="inlineStr">
        <is>
          <t>2) Added Teceze as a Partner PMO</t>
        </is>
      </c>
    </row>
    <row r="5">
      <c r="B5" t="inlineStr">
        <is>
          <t>3) Added Teceze as a Partner</t>
        </is>
      </c>
    </row>
    <row r="6">
      <c r="B6" t="inlineStr">
        <is>
          <t>4) Uploaded to Sharepoint</t>
        </is>
      </c>
    </row>
    <row r="8">
      <c r="B8" t="inlineStr">
        <is>
          <t>Changelog (11/20/2025)</t>
        </is>
      </c>
    </row>
    <row r="9">
      <c r="B9" t="inlineStr">
        <is>
          <t>1) Updated Completed Contract and Streamline call outs for GSO</t>
        </is>
      </c>
    </row>
    <row r="10">
      <c r="B10" t="inlineStr">
        <is>
          <t>2) (Beta) Added Dropdown for Currency with Auto Populated Symbols</t>
        </is>
      </c>
    </row>
    <row r="12">
      <c r="B12" t="inlineStr">
        <is>
          <t>Changelog (12/05/2025)</t>
        </is>
      </c>
    </row>
    <row r="13">
      <c r="B13" t="inlineStr">
        <is>
          <t>1) Additional Currencies</t>
        </is>
      </c>
    </row>
  </sheetData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D10" sqref="D10"/>
    </sheetView>
  </sheetViews>
  <sheetFormatPr baseColWidth="8" defaultRowHeight="14.1"/>
  <cols>
    <col width="36.125" bestFit="1" customWidth="1" style="433" min="2" max="2"/>
    <col width="25.875" bestFit="1" customWidth="1" style="433" min="3" max="3"/>
    <col width="28.125" bestFit="1" customWidth="1" style="433" min="4" max="4"/>
    <col width="14" bestFit="1" customWidth="1" style="433" min="5" max="5"/>
  </cols>
  <sheetData>
    <row r="2">
      <c r="B2" s="424" t="inlineStr">
        <is>
          <t>Google Currency</t>
        </is>
      </c>
    </row>
    <row r="3">
      <c r="B3" s="239" t="inlineStr">
        <is>
          <t>&lt;&lt;Select Currency&gt;&gt;</t>
        </is>
      </c>
      <c r="C3" s="364" t="n"/>
      <c r="D3" s="364" t="n"/>
      <c r="E3" s="364" t="n"/>
    </row>
    <row r="4">
      <c r="B4" s="239" t="inlineStr">
        <is>
          <t>USD</t>
        </is>
      </c>
      <c r="C4" s="236" t="n"/>
      <c r="D4" s="236" t="n"/>
      <c r="E4" s="233" t="n"/>
    </row>
    <row r="5">
      <c r="B5" s="239" t="inlineStr">
        <is>
          <t>AUD</t>
        </is>
      </c>
      <c r="C5" s="238" t="n"/>
      <c r="E5" s="629" t="n"/>
    </row>
    <row r="6">
      <c r="B6" s="239" t="inlineStr">
        <is>
          <t>BRL</t>
        </is>
      </c>
      <c r="C6" s="239" t="n"/>
      <c r="D6" s="239" t="n"/>
      <c r="E6" s="629" t="n"/>
    </row>
    <row r="7">
      <c r="B7" s="239" t="inlineStr">
        <is>
          <t>CAD</t>
        </is>
      </c>
      <c r="C7" s="239" t="n"/>
      <c r="D7" s="239" t="n"/>
      <c r="E7" s="629" t="n"/>
    </row>
    <row r="8">
      <c r="B8" s="239" t="inlineStr">
        <is>
          <t>CNY</t>
        </is>
      </c>
      <c r="C8" s="238" t="n"/>
      <c r="E8" s="629" t="n"/>
    </row>
    <row r="9">
      <c r="B9" s="239" t="inlineStr">
        <is>
          <t>EUR</t>
        </is>
      </c>
      <c r="C9" s="239" t="n"/>
      <c r="D9" s="236" t="n"/>
      <c r="E9" s="233" t="n"/>
    </row>
    <row r="10">
      <c r="B10" s="239" t="inlineStr">
        <is>
          <t>GBP</t>
        </is>
      </c>
      <c r="C10" s="238" t="n"/>
      <c r="E10" s="629" t="n"/>
    </row>
    <row r="11" ht="15.95" customHeight="1" s="433">
      <c r="B11" s="239" t="inlineStr">
        <is>
          <t>INR</t>
        </is>
      </c>
      <c r="C11" s="237" t="n"/>
      <c r="D11" s="237" t="n"/>
      <c r="E11" s="629" t="n"/>
    </row>
    <row r="12">
      <c r="B12" s="239" t="inlineStr">
        <is>
          <t>SGD</t>
        </is>
      </c>
      <c r="C12" s="238" t="n"/>
      <c r="E12" s="629" t="n"/>
    </row>
    <row r="13" ht="15.95" customHeight="1" s="433">
      <c r="B13" s="240" t="inlineStr">
        <is>
          <t>TWD</t>
        </is>
      </c>
      <c r="C13" s="240" t="n"/>
      <c r="D13" s="240" t="n"/>
      <c r="E13" s="629" t="n"/>
    </row>
    <row r="14">
      <c r="B14" s="239" t="inlineStr">
        <is>
          <t>YEN</t>
        </is>
      </c>
      <c r="C14" s="238" t="n"/>
      <c r="E14" s="629" t="n"/>
    </row>
    <row r="15">
      <c r="E15" s="629" t="n"/>
    </row>
  </sheetData>
  <mergeCells count="1">
    <mergeCell ref="B2:E2"/>
  </mergeCell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1">
    <tabColor theme="0" tint="-0.1499984740745262"/>
    <outlinePr summaryBelow="1" summaryRight="1"/>
    <pageSetUpPr fitToPage="1"/>
  </sheetPr>
  <dimension ref="B1:R39"/>
  <sheetViews>
    <sheetView showGridLines="0" workbookViewId="0">
      <selection activeCell="F15" sqref="F15:F17"/>
    </sheetView>
  </sheetViews>
  <sheetFormatPr baseColWidth="8" defaultColWidth="9" defaultRowHeight="14.25" customHeight="1"/>
  <cols>
    <col width="6" customWidth="1" style="1" min="1" max="1"/>
    <col width="56" customWidth="1" style="1" min="2" max="2"/>
    <col width="18.5" customWidth="1" style="1" min="3" max="4"/>
    <col width="12.5" customWidth="1" style="1" min="5" max="5"/>
    <col width="18.5" customWidth="1" style="1" min="6" max="6"/>
    <col width="9" customWidth="1" style="1" min="7" max="7"/>
    <col width="6" customWidth="1" style="433" min="8" max="8"/>
    <col width="17" customWidth="1" style="1" min="9" max="9"/>
    <col width="23.5" customWidth="1" style="1" min="10" max="11"/>
    <col width="14.5" customWidth="1" style="1" min="12" max="14"/>
    <col hidden="1" width="12.5" customWidth="1" style="1" min="15" max="17"/>
    <col width="21.5" customWidth="1" style="1" min="18" max="18"/>
    <col width="9.5" bestFit="1" customWidth="1" style="1" min="19" max="19"/>
    <col width="8" customWidth="1" style="1" min="20" max="20"/>
    <col width="9.5" bestFit="1" customWidth="1" style="1" min="21" max="21"/>
    <col width="9" customWidth="1" style="1" min="22" max="22"/>
    <col width="9" customWidth="1" style="1" min="23" max="16384"/>
  </cols>
  <sheetData>
    <row r="1" ht="14.25" customHeight="1" s="433">
      <c r="B1" t="inlineStr">
        <is>
          <t>Estimating Tool version 20240425-01</t>
        </is>
      </c>
      <c r="C1" s="458" t="n"/>
      <c r="D1" s="458" t="n"/>
      <c r="E1" s="458" t="n"/>
      <c r="F1" s="458" t="n"/>
      <c r="G1" s="2" t="n"/>
      <c r="I1" s="458" t="n"/>
      <c r="J1" s="458" t="n"/>
      <c r="K1" s="458" t="n"/>
      <c r="L1" s="458" t="n"/>
      <c r="M1" s="458" t="n"/>
      <c r="N1" s="458" t="n"/>
      <c r="O1" s="458" t="n"/>
      <c r="P1" s="458" t="n"/>
      <c r="Q1" s="458" t="n"/>
      <c r="R1" s="458" t="n"/>
    </row>
    <row r="2" ht="14.25" customHeight="1" s="433" thickBot="1">
      <c r="B2" s="2" t="inlineStr">
        <is>
          <t>Financial Summary for Account Teams</t>
        </is>
      </c>
      <c r="C2" s="458" t="n"/>
      <c r="D2" s="458" t="n"/>
      <c r="E2" s="458" t="n"/>
      <c r="F2" s="458" t="n"/>
      <c r="G2" s="458" t="n"/>
      <c r="I2" s="458" t="n"/>
      <c r="J2" s="458" t="n"/>
      <c r="K2" s="458" t="n"/>
      <c r="L2" s="458" t="n"/>
      <c r="M2" s="458" t="n"/>
      <c r="N2" s="458" t="n"/>
      <c r="O2" s="458" t="n"/>
      <c r="P2" s="458" t="n"/>
      <c r="Q2" s="458" t="n"/>
      <c r="R2" s="458" t="n"/>
    </row>
    <row r="3" ht="14.25" customHeight="1" s="433">
      <c r="B3" s="49" t="n"/>
      <c r="C3" s="426" t="inlineStr">
        <is>
          <t>Cost</t>
        </is>
      </c>
      <c r="D3" s="426" t="inlineStr">
        <is>
          <t>Gross Profit</t>
        </is>
      </c>
      <c r="E3" s="451" t="n"/>
      <c r="F3" s="426" t="inlineStr">
        <is>
          <t>Revenue</t>
        </is>
      </c>
      <c r="G3" s="50" t="n"/>
      <c r="I3" s="458" t="n"/>
      <c r="J3" s="458" t="n"/>
      <c r="K3" s="458" t="n"/>
      <c r="L3" s="458" t="n"/>
      <c r="M3" s="458" t="n"/>
      <c r="N3" s="458" t="n"/>
      <c r="O3" s="458" t="n"/>
      <c r="P3" s="458" t="n"/>
      <c r="Q3" s="458" t="n"/>
      <c r="R3" s="458" t="n"/>
    </row>
    <row r="4" ht="14.25" customHeight="1" s="433">
      <c r="B4" s="87" t="inlineStr">
        <is>
          <t>Product Sales: Title Holding Fees related to HWaaS sale</t>
        </is>
      </c>
      <c r="C4" s="639">
        <f>C15</f>
        <v/>
      </c>
      <c r="D4" s="640">
        <f>D15</f>
        <v/>
      </c>
      <c r="E4" s="641">
        <f>E15</f>
        <v/>
      </c>
      <c r="F4" s="639">
        <f>F15</f>
        <v/>
      </c>
      <c r="G4" s="10" t="n"/>
      <c r="I4" s="458" t="n"/>
      <c r="J4" s="458" t="n"/>
      <c r="K4" s="458" t="n"/>
      <c r="L4" s="458" t="n"/>
      <c r="M4" s="458" t="n"/>
      <c r="N4" s="458" t="n"/>
      <c r="O4" s="458" t="n"/>
      <c r="P4" s="458" t="n"/>
      <c r="Q4" s="458" t="n"/>
      <c r="R4" s="458" t="n"/>
    </row>
    <row r="5" ht="14.25" customHeight="1" s="433">
      <c r="B5" s="32" t="inlineStr">
        <is>
          <t>Supply Chain Services</t>
        </is>
      </c>
      <c r="C5" s="639">
        <f>C17</f>
        <v/>
      </c>
      <c r="D5" s="640">
        <f>D17</f>
        <v/>
      </c>
      <c r="E5" s="641">
        <f>E17</f>
        <v/>
      </c>
      <c r="F5" s="639">
        <f>F17</f>
        <v/>
      </c>
      <c r="G5" s="10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</row>
    <row r="6" ht="14.25" customHeight="1" s="433">
      <c r="B6" s="32" t="inlineStr">
        <is>
          <t>Delivery Services</t>
        </is>
      </c>
      <c r="C6" s="639">
        <f>C28</f>
        <v/>
      </c>
      <c r="D6" s="640">
        <f>D28</f>
        <v/>
      </c>
      <c r="E6" s="641">
        <f>E28</f>
        <v/>
      </c>
      <c r="F6" s="639">
        <f>F28</f>
        <v/>
      </c>
      <c r="G6" s="10" t="n"/>
      <c r="I6" s="458" t="n"/>
      <c r="J6" s="458" t="n"/>
      <c r="K6" s="458" t="n"/>
      <c r="L6" s="458" t="n"/>
      <c r="M6" s="458" t="n"/>
      <c r="N6" s="458" t="n"/>
      <c r="O6" s="458" t="n"/>
      <c r="P6" s="458" t="n"/>
      <c r="Q6" s="458" t="n"/>
      <c r="R6" s="458" t="n"/>
    </row>
    <row r="7" ht="14.25" customHeight="1" s="433">
      <c r="B7" s="87" t="inlineStr">
        <is>
          <t>Unrecoverable Taxes related to HW sale in Brazil</t>
        </is>
      </c>
      <c r="C7" s="639" t="n"/>
      <c r="D7" s="640" t="n">
        <v>0</v>
      </c>
      <c r="E7" s="641" t="n">
        <v>0</v>
      </c>
      <c r="F7" s="639" t="n"/>
      <c r="G7" s="10" t="n"/>
      <c r="I7" s="458" t="n"/>
      <c r="J7" s="458" t="n"/>
      <c r="K7" s="458" t="n"/>
      <c r="L7" s="458" t="n"/>
      <c r="M7" s="458" t="n"/>
      <c r="N7" s="458" t="n"/>
      <c r="O7" s="458" t="n"/>
      <c r="P7" s="458" t="n"/>
      <c r="Q7" s="458" t="n"/>
      <c r="R7" s="458" t="n"/>
    </row>
    <row r="8" ht="14.25" customHeight="1" s="433">
      <c r="B8" s="32" t="inlineStr">
        <is>
          <t>Other Expenses</t>
        </is>
      </c>
      <c r="C8" s="639" t="n"/>
      <c r="D8" s="640" t="n"/>
      <c r="E8" s="641" t="n"/>
      <c r="F8" s="216" t="n"/>
      <c r="G8" s="10" t="n"/>
      <c r="I8" s="458" t="n"/>
      <c r="J8" s="458" t="n"/>
      <c r="K8" s="458" t="n"/>
      <c r="L8" s="458" t="n"/>
      <c r="M8" s="458" t="n"/>
      <c r="N8" s="458" t="n"/>
      <c r="O8" s="458" t="n"/>
      <c r="P8" s="458" t="n"/>
      <c r="Q8" s="458" t="n"/>
      <c r="R8" s="458" t="n"/>
    </row>
    <row r="9" ht="14.25" customHeight="1" s="433">
      <c r="B9" s="45" t="inlineStr">
        <is>
          <t>Total</t>
        </is>
      </c>
      <c r="C9" s="642">
        <f>C33</f>
        <v/>
      </c>
      <c r="D9" s="643">
        <f>SUM(D4:D6)</f>
        <v/>
      </c>
      <c r="E9" s="644">
        <f>E33</f>
        <v/>
      </c>
      <c r="F9" s="642">
        <f>F33</f>
        <v/>
      </c>
      <c r="G9" s="10" t="n"/>
      <c r="I9" s="458" t="n"/>
      <c r="J9" s="458" t="n"/>
      <c r="K9" s="458" t="n"/>
      <c r="L9" s="458" t="n"/>
      <c r="M9" s="458" t="n"/>
      <c r="N9" s="458" t="n"/>
      <c r="O9" s="458" t="n"/>
      <c r="P9" s="458" t="n"/>
      <c r="Q9" s="458" t="n"/>
      <c r="R9" s="458" t="n"/>
    </row>
    <row r="10" ht="14.25" customHeight="1" s="433" thickBot="1">
      <c r="B10" s="43" t="n"/>
      <c r="C10" s="44" t="n"/>
      <c r="D10" s="44" t="n"/>
      <c r="E10" s="48" t="n"/>
      <c r="F10" s="645" t="n"/>
      <c r="G10" s="11" t="n"/>
      <c r="I10" s="458" t="n"/>
      <c r="J10" s="458" t="n"/>
      <c r="K10" s="458" t="n"/>
      <c r="L10" s="458" t="n"/>
      <c r="M10" s="458" t="n"/>
      <c r="N10" s="458" t="n"/>
      <c r="O10" s="458" t="n"/>
      <c r="P10" s="458" t="n"/>
      <c r="Q10" s="458" t="n"/>
      <c r="R10" s="458" t="n"/>
    </row>
    <row r="11" ht="14.25" customHeight="1" s="433">
      <c r="B11" s="458" t="n"/>
      <c r="C11" s="458" t="n"/>
      <c r="D11" s="458" t="n"/>
      <c r="E11" s="458" t="n"/>
      <c r="F11" s="458" t="n"/>
      <c r="G11" s="2" t="n"/>
      <c r="I11" s="458" t="n"/>
      <c r="J11" s="458" t="n"/>
      <c r="K11" s="458" t="n"/>
      <c r="L11" s="458" t="n"/>
      <c r="M11" s="458" t="n"/>
      <c r="N11" s="458" t="n"/>
      <c r="O11" s="458" t="n"/>
      <c r="P11" s="458" t="n"/>
      <c r="Q11" s="458" t="n"/>
      <c r="R11" s="458" t="n"/>
    </row>
    <row r="12" ht="14.25" customHeight="1" s="433" thickBot="1">
      <c r="B12" s="2" t="inlineStr">
        <is>
          <t>Financial Summary by Category</t>
        </is>
      </c>
      <c r="C12" s="458" t="n"/>
      <c r="D12" s="458" t="n"/>
      <c r="E12" s="458" t="n"/>
      <c r="F12" s="458" t="n"/>
      <c r="G12" s="458" t="n"/>
      <c r="I12" s="458" t="n"/>
      <c r="J12" s="458" t="n"/>
      <c r="K12" s="458" t="n"/>
      <c r="L12" s="458" t="n"/>
      <c r="M12" s="458" t="n"/>
      <c r="N12" s="458" t="n"/>
      <c r="O12" s="458" t="n"/>
      <c r="P12" s="458" t="n"/>
      <c r="Q12" s="458" t="n"/>
      <c r="R12" s="458" t="n"/>
    </row>
    <row r="13" ht="14.1" customHeight="1" s="433">
      <c r="B13" s="49" t="n"/>
      <c r="C13" s="47" t="n"/>
      <c r="D13" s="47" t="n"/>
      <c r="E13" s="47" t="n"/>
      <c r="F13" s="47" t="n"/>
      <c r="G13" s="50" t="n"/>
      <c r="I13" s="458" t="n"/>
      <c r="J13" s="458" t="n"/>
      <c r="K13" s="458" t="n"/>
      <c r="L13" s="458" t="n"/>
      <c r="M13" s="458" t="n"/>
      <c r="N13" s="458" t="n"/>
      <c r="O13" s="458" t="n"/>
      <c r="P13" s="458" t="n"/>
      <c r="Q13" s="458" t="n"/>
      <c r="R13" s="458" t="n"/>
    </row>
    <row r="14" ht="14.45" customHeight="1" s="433" thickBot="1">
      <c r="B14" s="51" t="n"/>
      <c r="C14" s="422" t="inlineStr">
        <is>
          <t>Cost</t>
        </is>
      </c>
      <c r="D14" s="422" t="inlineStr">
        <is>
          <t>Gross Profit</t>
        </is>
      </c>
      <c r="F14" s="422" t="inlineStr">
        <is>
          <t>Revenue</t>
        </is>
      </c>
      <c r="G14" s="52" t="n"/>
      <c r="I14" s="458" t="n"/>
      <c r="J14" s="458" t="n"/>
      <c r="K14" s="458" t="n"/>
      <c r="L14" s="458" t="n"/>
      <c r="M14" s="458" t="n"/>
      <c r="N14" s="458" t="n"/>
      <c r="O14" s="458" t="n"/>
      <c r="P14" s="458" t="n"/>
      <c r="Q14" s="458" t="n"/>
      <c r="R14" s="458" t="n"/>
    </row>
    <row r="15" ht="14.45" customHeight="1" s="433" thickBot="1">
      <c r="B15" s="87" t="inlineStr">
        <is>
          <t>Product Sales: Title Holding Fees related to HWaaS sale</t>
        </is>
      </c>
      <c r="C15" s="646" t="n"/>
      <c r="D15" s="647">
        <f>OLD!F8</f>
        <v/>
      </c>
      <c r="E15" s="648">
        <f>IF(F15&gt;0,D15/F15,"-  ")</f>
        <v/>
      </c>
      <c r="F15" s="649">
        <f>OLD!F8</f>
        <v/>
      </c>
      <c r="G15" s="52" t="n"/>
      <c r="I15" s="458" t="n"/>
      <c r="J15" s="458" t="n"/>
      <c r="K15" s="458" t="n"/>
      <c r="L15" s="458" t="n"/>
      <c r="M15" s="458" t="n"/>
      <c r="N15" s="458" t="n"/>
      <c r="O15" s="458" t="n"/>
      <c r="P15" s="458" t="n"/>
      <c r="Q15" s="458" t="n"/>
      <c r="R15" s="458" t="n"/>
    </row>
    <row r="16" ht="14.45" customHeight="1" s="433" thickBot="1">
      <c r="B16" s="12" t="n"/>
      <c r="C16" s="458" t="n"/>
      <c r="D16" s="458" t="n"/>
      <c r="E16" s="14" t="n"/>
      <c r="F16" s="458" t="n"/>
      <c r="G16" s="52" t="n"/>
      <c r="I16" s="458" t="n"/>
      <c r="J16" s="458" t="n"/>
      <c r="K16" s="458" t="n"/>
      <c r="L16" s="458" t="n"/>
      <c r="M16" s="458" t="n"/>
      <c r="N16" s="458" t="n"/>
      <c r="O16" s="458" t="n"/>
      <c r="P16" s="458" t="n"/>
      <c r="Q16" s="458" t="n"/>
      <c r="R16" s="458" t="n"/>
    </row>
    <row r="17" ht="14.25" customHeight="1" s="433" thickBot="1">
      <c r="B17" s="32" t="inlineStr">
        <is>
          <t>Supply Chain Services</t>
        </is>
      </c>
      <c r="C17" s="646">
        <f>Summary!F5</f>
        <v/>
      </c>
      <c r="D17" s="650">
        <f>F17-C17</f>
        <v/>
      </c>
      <c r="E17" s="648">
        <f>IF(F17&gt;0,D17/F17,"-  ")</f>
        <v/>
      </c>
      <c r="F17" s="651">
        <f>OLD!D8</f>
        <v/>
      </c>
      <c r="G17" s="52" t="n"/>
      <c r="I17" s="458" t="n"/>
      <c r="J17" s="458" t="n"/>
      <c r="K17" s="458" t="n"/>
      <c r="L17" s="458" t="n"/>
      <c r="M17" s="458" t="n"/>
      <c r="N17" s="458" t="n"/>
      <c r="O17" s="458" t="n"/>
      <c r="P17" s="458" t="n"/>
      <c r="Q17" s="458" t="n"/>
    </row>
    <row r="18" ht="14.25" customHeight="1" s="433">
      <c r="B18" s="12" t="n"/>
      <c r="C18" s="652" t="n"/>
      <c r="D18" s="652" t="n"/>
      <c r="E18" s="653" t="n"/>
      <c r="F18" s="652" t="n"/>
      <c r="G18" s="52" t="n"/>
      <c r="I18" s="458" t="n"/>
      <c r="J18" s="458" t="n"/>
      <c r="K18" s="458" t="n"/>
      <c r="L18" s="458" t="n"/>
      <c r="M18" s="458" t="n"/>
      <c r="N18" s="458" t="n"/>
      <c r="O18" s="458" t="n"/>
      <c r="P18" s="458" t="n"/>
      <c r="Q18" s="458" t="n"/>
    </row>
    <row r="19" ht="14.25" customHeight="1" s="433">
      <c r="B19" s="12" t="n"/>
      <c r="C19" s="652" t="n"/>
      <c r="D19" s="652" t="n"/>
      <c r="E19" s="653" t="n"/>
      <c r="F19" s="652" t="n"/>
      <c r="G19" s="52" t="n"/>
      <c r="I19" s="458" t="n"/>
      <c r="J19" s="458" t="n"/>
      <c r="K19" s="458" t="n"/>
      <c r="L19" s="458" t="n"/>
      <c r="M19" s="458" t="n"/>
      <c r="N19" s="458" t="n"/>
      <c r="O19" s="458" t="n"/>
      <c r="P19" s="458" t="n"/>
      <c r="Q19" s="458" t="n"/>
    </row>
    <row r="20" ht="14.25" customHeight="1" s="433">
      <c r="B20" s="12" t="n"/>
      <c r="C20" s="652" t="n"/>
      <c r="D20" s="652" t="n"/>
      <c r="E20" s="653" t="n"/>
      <c r="F20" s="654" t="n"/>
      <c r="G20" s="52" t="n"/>
      <c r="I20" s="458" t="n"/>
      <c r="J20" s="458" t="n"/>
      <c r="K20" s="458" t="n"/>
      <c r="L20" s="458" t="n"/>
      <c r="M20" s="458" t="n"/>
      <c r="N20" s="458" t="n"/>
      <c r="O20" s="458" t="n"/>
      <c r="P20" s="458" t="n"/>
      <c r="Q20" s="458" t="n"/>
    </row>
    <row r="21" ht="14.25" customHeight="1" s="433">
      <c r="B21" s="51" t="n"/>
      <c r="C21" s="458" t="n"/>
      <c r="D21" s="655" t="n"/>
      <c r="E21" s="656" t="n"/>
      <c r="F21" s="655" t="n"/>
      <c r="G21" s="52" t="n"/>
      <c r="I21" s="458" t="n"/>
      <c r="J21" s="458" t="n"/>
      <c r="K21" s="458" t="n"/>
      <c r="L21" s="458" t="n"/>
      <c r="M21" s="458" t="n"/>
      <c r="N21" s="458" t="n"/>
      <c r="O21" s="458" t="n"/>
      <c r="P21" s="458" t="n"/>
      <c r="Q21" s="458" t="n"/>
    </row>
    <row r="22" ht="14.25" customHeight="1" s="433">
      <c r="B22" s="32" t="inlineStr">
        <is>
          <t>TD&amp;E &amp; Other Deployment Services</t>
        </is>
      </c>
      <c r="C22" s="458" t="n"/>
      <c r="D22" s="655" t="n"/>
      <c r="E22" s="656" t="n"/>
      <c r="F22" s="655" t="n"/>
      <c r="G22" s="52" t="n"/>
      <c r="I22" s="458" t="n"/>
      <c r="J22" s="458" t="n"/>
      <c r="K22" s="458" t="n"/>
      <c r="L22" s="458" t="n"/>
      <c r="M22" s="458" t="n"/>
      <c r="N22" s="458" t="n"/>
      <c r="O22" s="458" t="n"/>
      <c r="P22" s="458" t="n"/>
      <c r="Q22" s="458" t="n"/>
    </row>
    <row r="23" ht="14.1" customHeight="1" s="433">
      <c r="B23" s="12" t="inlineStr">
        <is>
          <t>Project Management direct labor</t>
        </is>
      </c>
      <c r="C23" s="639">
        <f>Summary!G18</f>
        <v/>
      </c>
      <c r="D23" s="640">
        <f>F23-C23</f>
        <v/>
      </c>
      <c r="E23" s="641">
        <f>IF(F23&gt;0,D23/F23,"-  ")</f>
        <v/>
      </c>
      <c r="F23" s="639">
        <f>SUM(OLD!I8)</f>
        <v/>
      </c>
      <c r="G23" s="52" t="n"/>
      <c r="I23" s="458" t="n"/>
      <c r="J23" s="458" t="n"/>
      <c r="K23" s="458" t="n"/>
      <c r="L23" s="458" t="n"/>
      <c r="M23" s="458" t="n"/>
      <c r="N23" s="458" t="n"/>
      <c r="O23" s="458" t="n"/>
      <c r="P23" s="458" t="n"/>
      <c r="Q23" s="458" t="n"/>
    </row>
    <row r="24" ht="14.1" customHeight="1" s="433">
      <c r="B24" s="12" t="inlineStr">
        <is>
          <t>ATC Labor</t>
        </is>
      </c>
      <c r="C24" s="639">
        <f>Summary!#REF!</f>
        <v/>
      </c>
      <c r="D24" s="640" t="n"/>
      <c r="E24" s="641" t="n"/>
      <c r="F24" s="639">
        <f>Summary!#REF!</f>
        <v/>
      </c>
      <c r="G24" s="52" t="n"/>
      <c r="I24" s="458" t="n"/>
      <c r="J24" s="458" t="n"/>
      <c r="K24" s="458" t="n"/>
      <c r="L24" s="458" t="n"/>
      <c r="M24" s="458" t="n"/>
      <c r="N24" s="458" t="n"/>
      <c r="O24" s="458" t="n"/>
      <c r="P24" s="458" t="n"/>
      <c r="Q24" s="458" t="n"/>
    </row>
    <row r="25" ht="14.25" customHeight="1" s="433">
      <c r="B25" s="12" t="inlineStr">
        <is>
          <t>Crating and Delivery</t>
        </is>
      </c>
      <c r="C25" s="639">
        <f>Summary!G7</f>
        <v/>
      </c>
      <c r="D25" s="640">
        <f>F25-C25</f>
        <v/>
      </c>
      <c r="E25" s="641" t="n"/>
      <c r="F25" s="639">
        <f>ROUNDUP(C25,2)</f>
        <v/>
      </c>
      <c r="G25" s="52" t="n"/>
      <c r="I25" s="458" t="n"/>
      <c r="J25" s="458" t="n"/>
      <c r="K25" s="458" t="n"/>
      <c r="L25" s="458" t="n"/>
      <c r="M25" s="458" t="n"/>
      <c r="N25" s="458" t="n"/>
      <c r="O25" s="458" t="n"/>
      <c r="P25" s="458" t="n"/>
      <c r="Q25" s="458" t="n"/>
    </row>
    <row r="26" ht="14.25" customHeight="1" s="433">
      <c r="B26" s="12" t="inlineStr">
        <is>
          <t>Travel expenses, contractors</t>
        </is>
      </c>
      <c r="C26" s="639">
        <f>OLD!C37</f>
        <v/>
      </c>
      <c r="D26" s="640">
        <f>F26-C26</f>
        <v/>
      </c>
      <c r="E26" s="641">
        <f>IF(F26&gt;0,D26/F26,"-  ")</f>
        <v/>
      </c>
      <c r="F26" s="639" t="n">
        <v>0</v>
      </c>
      <c r="G26" s="52" t="n"/>
      <c r="I26" s="458" t="n"/>
      <c r="J26" s="458" t="n"/>
      <c r="K26" s="458" t="n"/>
      <c r="L26" s="458" t="n"/>
      <c r="M26" s="458" t="n"/>
      <c r="N26" s="458" t="n"/>
      <c r="O26" s="458" t="n"/>
      <c r="P26" s="458" t="n"/>
      <c r="Q26" s="458" t="n"/>
    </row>
    <row r="27" ht="14.25" customHeight="1" s="433" thickBot="1">
      <c r="B27" s="12" t="inlineStr">
        <is>
          <t>Subcontracted work</t>
        </is>
      </c>
      <c r="C27" s="657">
        <f>Summary!G25</f>
        <v/>
      </c>
      <c r="D27" s="658">
        <f>F27-C27</f>
        <v/>
      </c>
      <c r="E27" s="659">
        <f>IF(F27&gt;0,D27/F27,"-  ")</f>
        <v/>
      </c>
      <c r="F27" s="657">
        <f>SUM(OLD!H8,OLD!J8:K8)</f>
        <v/>
      </c>
      <c r="G27" s="52" t="n"/>
      <c r="I27" s="458" t="n"/>
      <c r="J27" s="458" t="n"/>
      <c r="K27" s="458" t="n"/>
      <c r="L27" s="458" t="n"/>
      <c r="M27" s="458" t="n"/>
      <c r="N27" s="458" t="n"/>
      <c r="O27" s="458" t="n"/>
      <c r="P27" s="458" t="n"/>
      <c r="Q27" s="458" t="n"/>
    </row>
    <row r="28" ht="14.25" customHeight="1" s="433" thickBot="1">
      <c r="B28" s="42" t="inlineStr">
        <is>
          <t>Total</t>
        </is>
      </c>
      <c r="C28" s="646">
        <f>SUM(C23:C27)</f>
        <v/>
      </c>
      <c r="D28" s="650">
        <f>F28-C28</f>
        <v/>
      </c>
      <c r="E28" s="648">
        <f>IF(F28&gt;0,D28/F28,0%)</f>
        <v/>
      </c>
      <c r="F28" s="660">
        <f>SUM(F23:F27)</f>
        <v/>
      </c>
      <c r="G28" s="52" t="n"/>
      <c r="I28" s="458" t="n"/>
      <c r="J28" s="458" t="n"/>
      <c r="K28" s="458" t="n"/>
      <c r="L28" s="458" t="n"/>
      <c r="M28" s="458" t="n"/>
      <c r="N28" s="458" t="n"/>
      <c r="O28" s="458" t="n"/>
      <c r="P28" s="458" t="n"/>
      <c r="Q28" s="458" t="n"/>
    </row>
    <row r="29" ht="14.25" customHeight="1" s="433">
      <c r="B29" s="12" t="inlineStr">
        <is>
          <t>Delivery Model and Floor GP without approval (req. recalculation)</t>
        </is>
      </c>
      <c r="C29" s="661" t="inlineStr">
        <is>
          <t>Subcontractor Only</t>
        </is>
      </c>
      <c r="E29" s="662" t="n">
        <v>0.3</v>
      </c>
      <c r="F29" s="652" t="n"/>
      <c r="G29" s="52" t="n"/>
      <c r="I29" s="458" t="n"/>
      <c r="J29" s="458" t="n"/>
      <c r="K29" s="458" t="n"/>
      <c r="L29" s="458" t="n"/>
      <c r="M29" s="458" t="n"/>
      <c r="N29" s="458" t="n"/>
      <c r="O29" s="458" t="n"/>
      <c r="P29" s="458" t="n"/>
      <c r="Q29" s="458" t="n"/>
    </row>
    <row r="30" ht="14.25" customHeight="1" s="433" thickBot="1">
      <c r="B30" s="19" t="n"/>
      <c r="C30" s="652" t="n"/>
      <c r="D30" s="652" t="n"/>
      <c r="E30" s="653" t="n"/>
      <c r="F30" s="652" t="n"/>
      <c r="G30" s="52" t="n"/>
      <c r="I30" s="458" t="n"/>
      <c r="J30" s="23" t="n"/>
      <c r="K30" s="458" t="n"/>
      <c r="L30" s="458" t="n"/>
      <c r="M30" s="458" t="n"/>
      <c r="N30" s="458" t="n"/>
      <c r="O30" s="458" t="n"/>
      <c r="P30" s="458" t="n"/>
      <c r="Q30" s="458" t="n"/>
    </row>
    <row r="31" ht="14.25" customHeight="1" s="433" thickBot="1">
      <c r="B31" s="170" t="inlineStr">
        <is>
          <t xml:space="preserve">Unrecoverable Taxes related to HW sale </t>
        </is>
      </c>
      <c r="C31" s="663" t="n"/>
      <c r="D31" s="664">
        <f>F31-C31</f>
        <v/>
      </c>
      <c r="E31" s="665">
        <f>IF(F31&gt;0,D31/F31,"-  ")</f>
        <v/>
      </c>
      <c r="F31" s="666" t="n"/>
      <c r="G31" s="52" t="n"/>
      <c r="I31" s="458" t="n"/>
      <c r="J31" s="23" t="n"/>
      <c r="K31" s="458" t="n"/>
      <c r="L31" s="458" t="n"/>
      <c r="M31" s="458" t="n"/>
      <c r="N31" s="458" t="n"/>
      <c r="O31" s="458" t="n"/>
      <c r="P31" s="458" t="n"/>
      <c r="Q31" s="458" t="n"/>
    </row>
    <row r="32" ht="14.25" customHeight="1" s="433" thickBot="1">
      <c r="B32" s="12" t="n"/>
      <c r="C32" s="458" t="n"/>
      <c r="D32" s="458" t="n"/>
      <c r="E32" s="14" t="n"/>
      <c r="F32" s="458" t="n"/>
      <c r="G32" s="52" t="n"/>
      <c r="I32" s="458" t="n"/>
      <c r="J32" s="458" t="n"/>
      <c r="K32" s="458" t="n"/>
      <c r="L32" s="458" t="n"/>
      <c r="M32" s="458" t="n"/>
      <c r="N32" s="458" t="n"/>
      <c r="O32" s="458" t="n"/>
      <c r="P32" s="458" t="n"/>
      <c r="Q32" s="458" t="n"/>
    </row>
    <row r="33" ht="14.25" customHeight="1" s="433" thickBot="1">
      <c r="B33" s="19" t="inlineStr">
        <is>
          <t>Deal Total</t>
        </is>
      </c>
      <c r="C33" s="646">
        <f>SUM(C15,C28,C31,C17)</f>
        <v/>
      </c>
      <c r="D33" s="650">
        <f>SUM(D15,D17,D28)</f>
        <v/>
      </c>
      <c r="E33" s="648">
        <f>AVERAGE(E15,E17,E28)</f>
        <v/>
      </c>
      <c r="F33" s="660">
        <f>F15+F28+F31+F17</f>
        <v/>
      </c>
      <c r="G33" s="52" t="n"/>
      <c r="I33" s="458" t="n"/>
      <c r="J33" s="458" t="n"/>
      <c r="K33" s="458" t="n"/>
      <c r="L33" s="458" t="n"/>
      <c r="M33" s="458" t="n"/>
      <c r="N33" s="458" t="n"/>
      <c r="O33" s="458" t="n"/>
      <c r="P33" s="458" t="n"/>
      <c r="Q33" s="458" t="n"/>
    </row>
    <row r="34" ht="14.25" customHeight="1" s="433" thickBot="1">
      <c r="B34" s="54" t="n"/>
      <c r="C34" s="667" t="n"/>
      <c r="D34" s="667" t="n"/>
      <c r="E34" s="668" t="n"/>
      <c r="F34" s="48" t="n"/>
      <c r="G34" s="669" t="n"/>
      <c r="I34" s="458" t="n"/>
      <c r="J34" s="458" t="n"/>
      <c r="K34" s="458" t="n"/>
      <c r="L34" s="458" t="n"/>
      <c r="M34" s="458" t="n"/>
      <c r="N34" s="458" t="n"/>
      <c r="O34" s="458" t="n"/>
      <c r="P34" s="458" t="n"/>
      <c r="Q34" s="458" t="n"/>
    </row>
    <row r="35" ht="14.25" customHeight="1" s="433">
      <c r="B35" s="458" t="n"/>
      <c r="C35" s="670" t="n"/>
      <c r="D35" s="670" t="n"/>
      <c r="E35" s="671" t="n"/>
      <c r="F35" s="458" t="n"/>
      <c r="G35" s="670" t="n"/>
      <c r="I35" s="458" t="n"/>
      <c r="J35" s="458" t="n"/>
      <c r="K35" s="458" t="n"/>
      <c r="L35" s="458" t="n"/>
      <c r="M35" s="458" t="n"/>
      <c r="N35" s="458" t="n"/>
      <c r="O35" s="458" t="n"/>
      <c r="P35" s="458" t="n"/>
      <c r="Q35" s="458" t="n"/>
    </row>
    <row r="36" ht="14.25" customHeight="1" s="433">
      <c r="B36" s="458" t="n"/>
      <c r="C36" s="458" t="n"/>
      <c r="D36" s="458" t="n"/>
      <c r="E36" s="458" t="n"/>
      <c r="F36" s="458" t="n"/>
      <c r="G36" s="458" t="n"/>
      <c r="I36" s="458" t="n"/>
      <c r="J36" s="458" t="n"/>
      <c r="K36" s="458" t="n"/>
      <c r="L36" s="458" t="n"/>
      <c r="M36" s="458" t="n"/>
      <c r="N36" s="458" t="n"/>
      <c r="O36" s="458" t="n"/>
      <c r="P36" s="458" t="n"/>
      <c r="Q36" s="458" t="n"/>
    </row>
    <row r="37" ht="14.25" customHeight="1" s="433">
      <c r="B37" s="458" t="n"/>
      <c r="C37" s="2" t="n"/>
      <c r="D37" s="458" t="n"/>
      <c r="E37" s="458" t="n"/>
      <c r="F37" s="458" t="n"/>
      <c r="G37" s="458" t="n"/>
      <c r="I37" s="458" t="n"/>
      <c r="J37" s="458" t="n"/>
      <c r="K37" s="458" t="n"/>
      <c r="L37" s="458" t="n"/>
      <c r="M37" s="458" t="n"/>
      <c r="N37" s="458" t="n"/>
      <c r="O37" s="458" t="n"/>
      <c r="P37" s="458" t="n"/>
      <c r="Q37" s="458" t="n"/>
    </row>
    <row r="38" ht="14.25" customHeight="1" s="433">
      <c r="B38" s="458" t="n"/>
      <c r="C38" s="458" t="n"/>
      <c r="D38" s="458" t="n"/>
      <c r="E38" s="458" t="n"/>
      <c r="F38" s="458" t="n"/>
      <c r="G38" s="458" t="n"/>
      <c r="I38" s="458" t="n"/>
      <c r="J38" s="458" t="n"/>
      <c r="K38" s="458" t="n"/>
      <c r="L38" s="458" t="n"/>
      <c r="M38" s="458" t="n"/>
      <c r="N38" s="458" t="n"/>
      <c r="O38" s="458" t="n"/>
      <c r="P38" s="458" t="n"/>
      <c r="Q38" s="458" t="n"/>
    </row>
    <row r="39" ht="14.25" customHeight="1" s="433">
      <c r="B39" s="458" t="n"/>
      <c r="C39" s="458" t="n"/>
      <c r="D39" s="458" t="n"/>
      <c r="E39" s="458" t="n"/>
      <c r="F39" s="458" t="n"/>
      <c r="G39" s="458" t="n"/>
      <c r="I39" s="458" t="n"/>
      <c r="J39" s="458" t="n"/>
      <c r="K39" s="458" t="n"/>
      <c r="L39" s="458" t="n"/>
      <c r="M39" s="458" t="n"/>
      <c r="N39" s="458" t="n"/>
      <c r="O39" s="458" t="n"/>
      <c r="P39" s="458" t="n"/>
      <c r="Q39" s="458" t="n"/>
    </row>
  </sheetData>
  <mergeCells count="3">
    <mergeCell ref="D14:E14"/>
    <mergeCell ref="C29:D29"/>
    <mergeCell ref="D3:E3"/>
  </mergeCells>
  <conditionalFormatting sqref="B13">
    <cfRule type="containsText" priority="10" operator="containsText" dxfId="7" text="FAILED">
      <formula>NOT(ISERROR(SEARCH("FAILED",B13)))</formula>
    </cfRule>
  </conditionalFormatting>
  <conditionalFormatting sqref="C29 E29">
    <cfRule type="expression" priority="13" dxfId="4">
      <formula>$E$28&lt;$E$29</formula>
    </cfRule>
  </conditionalFormatting>
  <conditionalFormatting sqref="D31:E31">
    <cfRule type="expression" priority="15" dxfId="4">
      <formula>$E$31&lt;0.3</formula>
    </cfRule>
  </conditionalFormatting>
  <conditionalFormatting sqref="D28:E28">
    <cfRule type="expression" priority="1" dxfId="4">
      <formula>$E$31&lt;0.3</formula>
    </cfRule>
  </conditionalFormatting>
  <dataValidations disablePrompts="1" count="1">
    <dataValidation sqref="I4 J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scale="63"/>
  <headerFooter>
    <oddHeader/>
    <oddFooter>&amp;C&amp;"Calibri"&amp;10 &amp;K008000_x000d_# GENERAL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R40"/>
  <sheetViews>
    <sheetView showGridLines="0" workbookViewId="0">
      <selection activeCell="B2" sqref="B2:F2"/>
    </sheetView>
  </sheetViews>
  <sheetFormatPr baseColWidth="8" defaultColWidth="9" defaultRowHeight="14.45"/>
  <cols>
    <col width="3.5" customWidth="1" style="146" min="1" max="1"/>
    <col width="9" customWidth="1" style="146" min="2" max="2"/>
    <col width="10.625" customWidth="1" style="146" min="3" max="3"/>
    <col width="12.5" bestFit="1" customWidth="1" style="146" min="4" max="4"/>
    <col width="9" customWidth="1" style="146" min="5" max="6"/>
    <col width="9.625" customWidth="1" style="146" min="7" max="7"/>
    <col width="13.125" customWidth="1" style="146" min="8" max="8"/>
    <col width="17.875" bestFit="1" customWidth="1" style="146" min="9" max="9"/>
    <col width="10.5" customWidth="1" style="146" min="10" max="10"/>
    <col width="8.875" customWidth="1" style="146" min="11" max="11"/>
    <col width="9" customWidth="1" style="146" min="12" max="12"/>
    <col width="10" customWidth="1" style="146" min="13" max="13"/>
    <col width="9.5" customWidth="1" style="146" min="14" max="14"/>
    <col width="11.125" customWidth="1" style="146" min="15" max="15"/>
    <col width="9" customWidth="1" style="146" min="16" max="16"/>
    <col width="9" customWidth="1" style="146" min="17" max="16384"/>
  </cols>
  <sheetData>
    <row r="1" ht="15" customHeight="1" s="433" thickBot="1">
      <c r="B1" s="459" t="n"/>
      <c r="C1" s="459" t="n"/>
      <c r="D1" s="459" t="n"/>
      <c r="E1" s="459" t="n"/>
      <c r="F1" s="459" t="n"/>
      <c r="G1" s="459" t="n"/>
      <c r="H1" s="459" t="n"/>
      <c r="I1" s="459" t="n"/>
      <c r="J1" s="459" t="n"/>
      <c r="K1" s="459" t="n"/>
      <c r="L1" s="459" t="n"/>
      <c r="M1" s="459" t="n"/>
      <c r="N1" s="459" t="n"/>
      <c r="O1" s="459" t="n"/>
      <c r="P1" s="459" t="n"/>
      <c r="Q1" s="459" t="n"/>
      <c r="R1" s="459" t="n"/>
    </row>
    <row r="2" ht="60.75" customHeight="1" s="433" thickBot="1">
      <c r="B2" s="428" t="inlineStr">
        <is>
          <t>Base SKUs</t>
        </is>
      </c>
      <c r="C2" s="444" t="n"/>
      <c r="D2" s="444" t="n"/>
      <c r="E2" s="444" t="n"/>
      <c r="F2" s="460" t="n"/>
      <c r="G2" s="220" t="inlineStr">
        <is>
          <t>PE (Logical)</t>
        </is>
      </c>
      <c r="H2" s="220" t="inlineStr">
        <is>
          <t>W/35%</t>
        </is>
      </c>
      <c r="I2" s="221" t="inlineStr">
        <is>
          <t>Techician
 (Physical + Transactional Charges and Crates)</t>
        </is>
      </c>
      <c r="J2" s="221" t="inlineStr">
        <is>
          <t>W/35%</t>
        </is>
      </c>
      <c r="K2" s="220" t="inlineStr">
        <is>
          <t>PM Costs</t>
        </is>
      </c>
      <c r="L2" s="220" t="inlineStr">
        <is>
          <t>W/35%</t>
        </is>
      </c>
      <c r="M2" s="220" t="inlineStr">
        <is>
          <t>OM Costs</t>
        </is>
      </c>
      <c r="N2" s="220" t="inlineStr">
        <is>
          <t>W/35%</t>
        </is>
      </c>
      <c r="O2" s="220" t="inlineStr">
        <is>
          <t>Per RK</t>
        </is>
      </c>
      <c r="P2" s="220" t="inlineStr">
        <is>
          <t>FORECAST</t>
        </is>
      </c>
      <c r="Q2" s="220" t="inlineStr">
        <is>
          <t>PM</t>
        </is>
      </c>
      <c r="R2" s="222" t="inlineStr">
        <is>
          <t>OM</t>
        </is>
      </c>
    </row>
    <row r="3">
      <c r="B3" s="149" t="inlineStr">
        <is>
          <t>xIC</t>
        </is>
      </c>
      <c r="C3" s="150" t="inlineStr">
        <is>
          <t>WWT Costs</t>
        </is>
      </c>
      <c r="D3" s="150" t="inlineStr">
        <is>
          <t>W/35% Margin</t>
        </is>
      </c>
      <c r="E3" s="150" t="inlineStr">
        <is>
          <t>PM Hours</t>
        </is>
      </c>
      <c r="F3" s="150" t="inlineStr">
        <is>
          <t>OM Hours</t>
        </is>
      </c>
      <c r="G3" s="151" t="n"/>
      <c r="H3" s="151" t="n"/>
      <c r="I3" s="151" t="n"/>
      <c r="J3" s="151" t="n"/>
      <c r="K3" s="151" t="n"/>
      <c r="L3" s="151" t="n"/>
      <c r="M3" s="151" t="n"/>
      <c r="N3" s="151" t="n"/>
      <c r="O3" s="459" t="n"/>
      <c r="P3" s="461" t="n"/>
      <c r="Q3" s="461" t="n"/>
      <c r="R3" s="459" t="n"/>
    </row>
    <row r="4">
      <c r="B4" s="462" t="inlineStr">
        <is>
          <t>NAIC</t>
        </is>
      </c>
      <c r="C4" s="672">
        <f>'[4]Year 1'!C4/0.9</f>
        <v/>
      </c>
      <c r="D4" s="672">
        <f>C4/0.65</f>
        <v/>
      </c>
      <c r="E4" s="153" t="n">
        <v>30</v>
      </c>
      <c r="F4" s="153" t="n">
        <v>30</v>
      </c>
      <c r="G4" s="672">
        <f>'[4]Year 1'!G4/0.9</f>
        <v/>
      </c>
      <c r="H4" s="672">
        <f>G4/0.65</f>
        <v/>
      </c>
      <c r="I4" s="672">
        <f>'[4]Year 1'!I4/0.9</f>
        <v/>
      </c>
      <c r="J4" s="672">
        <f>I4/0.65</f>
        <v/>
      </c>
      <c r="K4" s="672">
        <f>'[4]Year 1'!K4/0.9</f>
        <v/>
      </c>
      <c r="L4" s="672">
        <f>K4/0.65</f>
        <v/>
      </c>
      <c r="M4" s="672">
        <f>'[4]Year 1'!M4/0.9</f>
        <v/>
      </c>
      <c r="N4" s="672">
        <f>M4/0.65</f>
        <v/>
      </c>
      <c r="O4" s="673">
        <f>D4/3</f>
        <v/>
      </c>
      <c r="P4" s="674" t="n">
        <v>34</v>
      </c>
      <c r="Q4" s="675">
        <f>P4*E4</f>
        <v/>
      </c>
      <c r="R4" s="675">
        <f>P4*F4</f>
        <v/>
      </c>
    </row>
    <row r="5">
      <c r="B5" s="462" t="inlineStr">
        <is>
          <t>EIC</t>
        </is>
      </c>
      <c r="C5" s="672">
        <f>'[4]Year 1'!C5/0.9</f>
        <v/>
      </c>
      <c r="D5" s="672">
        <f>C5/0.65</f>
        <v/>
      </c>
      <c r="E5" s="153" t="n">
        <v>30</v>
      </c>
      <c r="F5" s="153" t="n">
        <v>30</v>
      </c>
      <c r="G5" s="672">
        <f>'[4]Year 1'!G5/0.9</f>
        <v/>
      </c>
      <c r="H5" s="672">
        <f>G5/0.65</f>
        <v/>
      </c>
      <c r="I5" s="672">
        <f>'[4]Year 1'!I5/0.9</f>
        <v/>
      </c>
      <c r="J5" s="672">
        <f>I5/0.65</f>
        <v/>
      </c>
      <c r="K5" s="672">
        <f>'[4]Year 1'!K5/0.9</f>
        <v/>
      </c>
      <c r="L5" s="672">
        <f>K5/0.65</f>
        <v/>
      </c>
      <c r="M5" s="672">
        <f>'[4]Year 1'!M5/0.9</f>
        <v/>
      </c>
      <c r="N5" s="672">
        <f>M5/0.65</f>
        <v/>
      </c>
      <c r="O5" s="673">
        <f>D5/3</f>
        <v/>
      </c>
      <c r="P5" s="674" t="n">
        <v>39</v>
      </c>
      <c r="Q5" s="675">
        <f>P5*E5</f>
        <v/>
      </c>
      <c r="R5" s="675">
        <f>P5*F5</f>
        <v/>
      </c>
    </row>
    <row r="6">
      <c r="B6" s="462" t="inlineStr">
        <is>
          <t>AIC-S</t>
        </is>
      </c>
      <c r="C6" s="672">
        <f>'[4]Year 1'!C6/0.9</f>
        <v/>
      </c>
      <c r="D6" s="672">
        <f>C6/0.65</f>
        <v/>
      </c>
      <c r="E6" s="153" t="n">
        <v>30</v>
      </c>
      <c r="F6" s="153" t="n">
        <v>30</v>
      </c>
      <c r="G6" s="672">
        <f>'[4]Year 1'!G6/0.9</f>
        <v/>
      </c>
      <c r="H6" s="672">
        <f>G6/0.65</f>
        <v/>
      </c>
      <c r="I6" s="672">
        <f>'[4]Year 1'!I6/0.9</f>
        <v/>
      </c>
      <c r="J6" s="672">
        <f>I6/0.65</f>
        <v/>
      </c>
      <c r="K6" s="672">
        <f>'[4]Year 1'!K6/0.9</f>
        <v/>
      </c>
      <c r="L6" s="672">
        <f>K6/0.65</f>
        <v/>
      </c>
      <c r="M6" s="672">
        <f>'[4]Year 1'!M6/0.9</f>
        <v/>
      </c>
      <c r="N6" s="672">
        <f>M6/0.65</f>
        <v/>
      </c>
      <c r="O6" s="673">
        <f>D6/3</f>
        <v/>
      </c>
      <c r="P6" s="674" t="n">
        <v>12</v>
      </c>
      <c r="Q6" s="675">
        <f>P6*E6</f>
        <v/>
      </c>
      <c r="R6" s="675">
        <f>P6*F6</f>
        <v/>
      </c>
    </row>
    <row r="7">
      <c r="B7" s="459" t="n"/>
      <c r="C7" s="459" t="n"/>
      <c r="D7" s="459" t="n"/>
      <c r="E7" s="459" t="n"/>
      <c r="F7" s="459" t="n"/>
      <c r="G7" s="459" t="n"/>
      <c r="H7" s="459" t="n"/>
      <c r="I7" s="459" t="n"/>
      <c r="J7" s="459" t="n"/>
      <c r="K7" s="459" t="n"/>
      <c r="L7" s="459" t="n"/>
      <c r="M7" s="459" t="n"/>
      <c r="N7" s="459" t="n"/>
      <c r="O7" s="459" t="n"/>
      <c r="P7" s="461" t="n"/>
      <c r="Q7" s="461" t="n"/>
      <c r="R7" s="459" t="n"/>
    </row>
    <row r="8" ht="9.75" customHeight="1" s="433" thickBot="1">
      <c r="B8" s="459" t="n"/>
      <c r="C8" s="459" t="n"/>
      <c r="D8" s="459" t="n"/>
      <c r="E8" s="459" t="n"/>
      <c r="F8" s="459" t="n"/>
      <c r="G8" s="459" t="n"/>
      <c r="H8" s="459" t="n"/>
      <c r="I8" s="459" t="n"/>
      <c r="J8" s="459" t="n"/>
      <c r="K8" s="459" t="n"/>
      <c r="L8" s="459" t="n"/>
      <c r="M8" s="459" t="n"/>
      <c r="N8" s="459" t="n"/>
      <c r="O8" s="459" t="n"/>
      <c r="P8" s="461" t="n"/>
      <c r="Q8" s="461" t="n"/>
      <c r="R8" s="459" t="n"/>
    </row>
    <row r="9" ht="58.5" customHeight="1" s="433" thickBot="1">
      <c r="B9" s="428" t="inlineStr">
        <is>
          <t>Expansion Rack</t>
        </is>
      </c>
      <c r="C9" s="444" t="n"/>
      <c r="D9" s="444" t="n"/>
      <c r="E9" s="444" t="n"/>
      <c r="F9" s="460" t="n"/>
      <c r="G9" s="220" t="inlineStr">
        <is>
          <t>PE (Logical)</t>
        </is>
      </c>
      <c r="H9" s="220" t="inlineStr">
        <is>
          <t>W/35%</t>
        </is>
      </c>
      <c r="I9" s="221" t="inlineStr">
        <is>
          <t>Techician
 (Physical + Transactional Charges and Crates)</t>
        </is>
      </c>
      <c r="J9" s="221" t="inlineStr">
        <is>
          <t>W/35%</t>
        </is>
      </c>
      <c r="K9" s="220" t="inlineStr">
        <is>
          <t>PM Costs</t>
        </is>
      </c>
      <c r="L9" s="220" t="inlineStr">
        <is>
          <t>W/35%</t>
        </is>
      </c>
      <c r="M9" s="220" t="inlineStr">
        <is>
          <t>OM Costs</t>
        </is>
      </c>
      <c r="N9" s="220" t="inlineStr">
        <is>
          <t>W/35%</t>
        </is>
      </c>
      <c r="O9" s="220" t="inlineStr">
        <is>
          <t>Per RK</t>
        </is>
      </c>
      <c r="P9" s="220" t="inlineStr">
        <is>
          <t>FORECAST</t>
        </is>
      </c>
      <c r="Q9" s="220" t="inlineStr">
        <is>
          <t>PM</t>
        </is>
      </c>
      <c r="R9" s="222" t="inlineStr">
        <is>
          <t>OM</t>
        </is>
      </c>
    </row>
    <row r="10">
      <c r="B10" s="149" t="inlineStr">
        <is>
          <t>xIC</t>
        </is>
      </c>
      <c r="C10" s="150" t="inlineStr">
        <is>
          <t>WWT Costs</t>
        </is>
      </c>
      <c r="D10" s="150" t="inlineStr">
        <is>
          <t>W/35% Margin</t>
        </is>
      </c>
      <c r="E10" s="150" t="inlineStr">
        <is>
          <t>PM Hours</t>
        </is>
      </c>
      <c r="F10" s="150" t="inlineStr">
        <is>
          <t>OM Hours</t>
        </is>
      </c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459" t="n"/>
      <c r="P10" s="461" t="n"/>
      <c r="Q10" s="461" t="n"/>
      <c r="R10" s="459" t="n"/>
    </row>
    <row r="11">
      <c r="B11" s="462" t="inlineStr">
        <is>
          <t>NAIC</t>
        </is>
      </c>
      <c r="C11" s="672">
        <f>'[4]Year 1'!C11/0.9</f>
        <v/>
      </c>
      <c r="D11" s="672">
        <f>C11/0.65</f>
        <v/>
      </c>
      <c r="E11" s="153" t="n">
        <v>6</v>
      </c>
      <c r="F11" s="153" t="n">
        <v>6</v>
      </c>
      <c r="G11" s="672">
        <f>'[4]Year 1'!G11/0.9</f>
        <v/>
      </c>
      <c r="H11" s="672">
        <f>G11/0.65</f>
        <v/>
      </c>
      <c r="I11" s="672" t="n">
        <v>1476.24</v>
      </c>
      <c r="J11" s="672">
        <f>I11/0.55</f>
        <v/>
      </c>
      <c r="K11" s="672">
        <f>'[4]Year 1'!K11/0.9</f>
        <v/>
      </c>
      <c r="L11" s="672">
        <f>K11/0.65</f>
        <v/>
      </c>
      <c r="M11" s="672">
        <f>'[4]Year 1'!M11/0.9</f>
        <v/>
      </c>
      <c r="N11" s="672">
        <f>M11/0.65</f>
        <v/>
      </c>
      <c r="O11" s="673">
        <f>D11</f>
        <v/>
      </c>
      <c r="P11" s="674" t="n">
        <v>85</v>
      </c>
      <c r="Q11" s="675">
        <f>P11*E11</f>
        <v/>
      </c>
      <c r="R11" s="675">
        <f>P11*F11</f>
        <v/>
      </c>
    </row>
    <row r="12">
      <c r="B12" s="462" t="inlineStr">
        <is>
          <t>EIC</t>
        </is>
      </c>
      <c r="C12" s="672">
        <f>'[4]Year 1'!C12/0.9</f>
        <v/>
      </c>
      <c r="D12" s="672">
        <f>C12/0.65</f>
        <v/>
      </c>
      <c r="E12" s="153" t="n">
        <v>6</v>
      </c>
      <c r="F12" s="153" t="n">
        <v>6</v>
      </c>
      <c r="G12" s="672">
        <f>'[4]Year 1'!G12/0.9</f>
        <v/>
      </c>
      <c r="H12" s="672">
        <f>G12/0.65</f>
        <v/>
      </c>
      <c r="I12" s="672" t="n">
        <v>1476.24</v>
      </c>
      <c r="J12" s="672">
        <f>I12/0.55</f>
        <v/>
      </c>
      <c r="K12" s="672">
        <f>'[4]Year 1'!K12/0.9</f>
        <v/>
      </c>
      <c r="L12" s="672">
        <f>K12/0.65</f>
        <v/>
      </c>
      <c r="M12" s="672">
        <f>'[4]Year 1'!M12/0.9</f>
        <v/>
      </c>
      <c r="N12" s="672">
        <f>M12/0.65</f>
        <v/>
      </c>
      <c r="O12" s="673">
        <f>D12</f>
        <v/>
      </c>
      <c r="P12" s="674" t="n">
        <v>10</v>
      </c>
      <c r="Q12" s="675">
        <f>P12*E12</f>
        <v/>
      </c>
      <c r="R12" s="675">
        <f>P12*F12</f>
        <v/>
      </c>
    </row>
    <row r="13">
      <c r="B13" s="462" t="inlineStr">
        <is>
          <t>AIC-S</t>
        </is>
      </c>
      <c r="C13" s="672">
        <f>'[4]Year 1'!C13/0.9</f>
        <v/>
      </c>
      <c r="D13" s="672">
        <f>C13/0.65</f>
        <v/>
      </c>
      <c r="E13" s="153" t="n">
        <v>6</v>
      </c>
      <c r="F13" s="153" t="n">
        <v>6</v>
      </c>
      <c r="G13" s="672">
        <f>'[4]Year 1'!G13/0.9</f>
        <v/>
      </c>
      <c r="H13" s="672">
        <f>G13/0.65</f>
        <v/>
      </c>
      <c r="I13" s="672" t="n">
        <v>1476.24</v>
      </c>
      <c r="J13" s="672">
        <f>I13/0.55</f>
        <v/>
      </c>
      <c r="K13" s="672">
        <f>'[4]Year 1'!K13/0.9</f>
        <v/>
      </c>
      <c r="L13" s="672">
        <f>K13/0.65</f>
        <v/>
      </c>
      <c r="M13" s="672">
        <f>'[4]Year 1'!M13/0.9</f>
        <v/>
      </c>
      <c r="N13" s="672">
        <f>M13/0.65</f>
        <v/>
      </c>
      <c r="O13" s="673">
        <f>D13</f>
        <v/>
      </c>
      <c r="P13" s="674" t="n">
        <v>10</v>
      </c>
      <c r="Q13" s="675">
        <f>P13*E13</f>
        <v/>
      </c>
      <c r="R13" s="675">
        <f>P13*F13</f>
        <v/>
      </c>
    </row>
    <row r="14">
      <c r="B14" s="459" t="n"/>
      <c r="C14" s="459" t="n"/>
      <c r="D14" s="459" t="n"/>
      <c r="E14" s="459" t="n"/>
      <c r="F14" s="459" t="n"/>
      <c r="G14" s="459" t="n"/>
      <c r="H14" s="459" t="n"/>
      <c r="I14" s="459" t="n"/>
      <c r="J14" s="459" t="n"/>
      <c r="K14" s="459" t="n"/>
      <c r="L14" s="459" t="n"/>
      <c r="M14" s="459" t="n"/>
      <c r="N14" s="459" t="n"/>
      <c r="O14" s="459" t="n"/>
      <c r="P14" s="676" t="n"/>
      <c r="Q14" s="677" t="n"/>
      <c r="R14" s="459" t="n"/>
    </row>
    <row r="15" ht="15" customHeight="1" s="433" thickBot="1">
      <c r="B15" s="459" t="n"/>
      <c r="C15" s="459" t="n"/>
      <c r="D15" s="459" t="n"/>
      <c r="E15" s="459" t="n"/>
      <c r="F15" s="459" t="n"/>
      <c r="G15" s="459" t="n"/>
      <c r="H15" s="459" t="n"/>
      <c r="I15" s="459" t="n"/>
      <c r="J15" s="459" t="n"/>
      <c r="K15" s="459" t="n"/>
      <c r="L15" s="459" t="n"/>
      <c r="M15" s="459" t="n"/>
      <c r="N15" s="459" t="n"/>
      <c r="O15" s="459" t="n"/>
      <c r="P15" s="676" t="n"/>
      <c r="Q15" s="677" t="n"/>
      <c r="R15" s="459" t="n"/>
    </row>
    <row r="16" ht="44.1" customHeight="1" s="433" thickBot="1">
      <c r="B16" s="427" t="inlineStr">
        <is>
          <t>General Purpose Server Block</t>
        </is>
      </c>
      <c r="C16" s="444" t="n"/>
      <c r="D16" s="444" t="n"/>
      <c r="E16" s="444" t="n"/>
      <c r="F16" s="460" t="n"/>
      <c r="G16" s="148" t="inlineStr">
        <is>
          <t>PE (Logical)</t>
        </is>
      </c>
      <c r="H16" s="148" t="inlineStr">
        <is>
          <t>W/45%</t>
        </is>
      </c>
      <c r="I16" s="147" t="inlineStr">
        <is>
          <t xml:space="preserve">Techician
 (Physical + Transactional Charges </t>
        </is>
      </c>
      <c r="J16" s="147" t="inlineStr">
        <is>
          <t>W/45%</t>
        </is>
      </c>
      <c r="K16" s="148" t="inlineStr">
        <is>
          <t>PM Costs</t>
        </is>
      </c>
      <c r="L16" s="148" t="inlineStr">
        <is>
          <t>W/45%</t>
        </is>
      </c>
      <c r="M16" s="148" t="inlineStr">
        <is>
          <t>OM Costs</t>
        </is>
      </c>
      <c r="N16" s="148" t="inlineStr">
        <is>
          <t>W/45%</t>
        </is>
      </c>
      <c r="O16" s="148" t="inlineStr">
        <is>
          <t>FORECAST</t>
        </is>
      </c>
      <c r="P16" s="148" t="inlineStr">
        <is>
          <t>PM</t>
        </is>
      </c>
      <c r="Q16" s="219" t="inlineStr">
        <is>
          <t>OM</t>
        </is>
      </c>
      <c r="R16" s="459" t="n"/>
    </row>
    <row r="17">
      <c r="B17" s="149" t="inlineStr">
        <is>
          <t>xIC</t>
        </is>
      </c>
      <c r="C17" s="150" t="inlineStr">
        <is>
          <t>WWT Costs</t>
        </is>
      </c>
      <c r="D17" s="150" t="inlineStr">
        <is>
          <t>W/45% Margin</t>
        </is>
      </c>
      <c r="E17" s="150" t="inlineStr">
        <is>
          <t>PM Hours</t>
        </is>
      </c>
      <c r="F17" s="150" t="inlineStr">
        <is>
          <t>OM Hours</t>
        </is>
      </c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676" t="n"/>
      <c r="P17" s="677" t="n"/>
      <c r="Q17" s="459" t="n"/>
      <c r="R17" s="459" t="n"/>
    </row>
    <row r="18">
      <c r="B18" s="462" t="inlineStr">
        <is>
          <t>NAIC</t>
        </is>
      </c>
      <c r="C18" s="672">
        <f>'[4]Year 1'!C18/0.9</f>
        <v/>
      </c>
      <c r="D18" s="672">
        <f>C18/0.55</f>
        <v/>
      </c>
      <c r="E18" s="153" t="n">
        <v>2</v>
      </c>
      <c r="F18" s="153" t="n">
        <v>2</v>
      </c>
      <c r="G18" s="672">
        <f>'[4]Year 1'!G18/0.9</f>
        <v/>
      </c>
      <c r="H18" s="672">
        <f>G18/0.55</f>
        <v/>
      </c>
      <c r="I18" s="672">
        <f>'[4]Year 1'!I18/0.9</f>
        <v/>
      </c>
      <c r="J18" s="672">
        <f>I18/0.55</f>
        <v/>
      </c>
      <c r="K18" s="672">
        <f>'[4]Year 1'!K18/0.9</f>
        <v/>
      </c>
      <c r="L18" s="672">
        <f>K18/0.55</f>
        <v/>
      </c>
      <c r="M18" s="672">
        <f>'[4]Year 1'!M18/0.9</f>
        <v/>
      </c>
      <c r="N18" s="672">
        <f>M18/0.55</f>
        <v/>
      </c>
      <c r="O18" s="674" t="n">
        <v>210</v>
      </c>
      <c r="P18" s="675">
        <f>O18*E18</f>
        <v/>
      </c>
      <c r="Q18" s="675">
        <f>O18*F18</f>
        <v/>
      </c>
      <c r="R18" s="459" t="n"/>
    </row>
    <row r="19">
      <c r="B19" s="462" t="inlineStr">
        <is>
          <t>EIC</t>
        </is>
      </c>
      <c r="C19" s="672">
        <f>'[4]Year 1'!C19/0.9</f>
        <v/>
      </c>
      <c r="D19" s="672">
        <f>C19/0.55</f>
        <v/>
      </c>
      <c r="E19" s="153" t="n">
        <v>2</v>
      </c>
      <c r="F19" s="153" t="n">
        <v>2</v>
      </c>
      <c r="G19" s="672">
        <f>'[4]Year 1'!G19/0.9</f>
        <v/>
      </c>
      <c r="H19" s="672">
        <f>G19/0.55</f>
        <v/>
      </c>
      <c r="I19" s="672">
        <f>'[4]Year 1'!I19/0.9</f>
        <v/>
      </c>
      <c r="J19" s="672">
        <f>I19/0.55</f>
        <v/>
      </c>
      <c r="K19" s="672">
        <f>'[4]Year 1'!K19/0.9</f>
        <v/>
      </c>
      <c r="L19" s="672">
        <f>K19/0.55</f>
        <v/>
      </c>
      <c r="M19" s="672">
        <f>'[4]Year 1'!M19/0.9</f>
        <v/>
      </c>
      <c r="N19" s="672">
        <f>M19/0.55</f>
        <v/>
      </c>
      <c r="O19" s="674" t="n">
        <v>45</v>
      </c>
      <c r="P19" s="675">
        <f>O19*E19</f>
        <v/>
      </c>
      <c r="Q19" s="675">
        <f>O19*F19</f>
        <v/>
      </c>
      <c r="R19" s="459" t="n"/>
    </row>
    <row r="20">
      <c r="B20" s="462" t="inlineStr">
        <is>
          <t>AIC-S</t>
        </is>
      </c>
      <c r="C20" s="672">
        <f>'[4]Year 1'!C20/0.9</f>
        <v/>
      </c>
      <c r="D20" s="672">
        <f>C20/0.55</f>
        <v/>
      </c>
      <c r="E20" s="153" t="n">
        <v>2</v>
      </c>
      <c r="F20" s="153" t="n">
        <v>2</v>
      </c>
      <c r="G20" s="672">
        <f>'[4]Year 1'!G20/0.9</f>
        <v/>
      </c>
      <c r="H20" s="672">
        <f>G20/0.55</f>
        <v/>
      </c>
      <c r="I20" s="672">
        <f>'[4]Year 1'!I20/0.9</f>
        <v/>
      </c>
      <c r="J20" s="672">
        <f>I20/0.55</f>
        <v/>
      </c>
      <c r="K20" s="672">
        <f>'[4]Year 1'!K20/0.9</f>
        <v/>
      </c>
      <c r="L20" s="672">
        <f>K20/0.55</f>
        <v/>
      </c>
      <c r="M20" s="672">
        <f>'[4]Year 1'!M20/0.9</f>
        <v/>
      </c>
      <c r="N20" s="672">
        <f>M20/0.55</f>
        <v/>
      </c>
      <c r="O20" s="674" t="n">
        <v>20</v>
      </c>
      <c r="P20" s="675">
        <f>O20*E20</f>
        <v/>
      </c>
      <c r="Q20" s="675">
        <f>O20*F20</f>
        <v/>
      </c>
      <c r="R20" s="459" t="n"/>
    </row>
    <row r="21">
      <c r="B21" s="459" t="n"/>
      <c r="C21" s="459" t="n"/>
      <c r="D21" s="459" t="n"/>
      <c r="E21" s="459" t="n"/>
      <c r="F21" s="459" t="n"/>
      <c r="G21" s="459" t="n"/>
      <c r="H21" s="459" t="n"/>
      <c r="I21" s="459" t="n"/>
      <c r="J21" s="459" t="n"/>
      <c r="K21" s="459" t="n"/>
      <c r="L21" s="459" t="n"/>
      <c r="M21" s="459" t="n"/>
      <c r="N21" s="459" t="n"/>
      <c r="O21" s="459" t="n"/>
      <c r="P21" s="676" t="n"/>
      <c r="Q21" s="677" t="n"/>
      <c r="R21" s="459" t="n"/>
    </row>
    <row r="22" ht="15" customHeight="1" s="433" thickBot="1">
      <c r="B22" s="459" t="n"/>
      <c r="C22" s="459" t="n"/>
      <c r="D22" s="459" t="n"/>
      <c r="E22" s="459" t="n"/>
      <c r="F22" s="459" t="n"/>
      <c r="G22" s="459" t="n"/>
      <c r="H22" s="459" t="n"/>
      <c r="I22" s="459" t="n"/>
      <c r="J22" s="459" t="n"/>
      <c r="K22" s="459" t="n"/>
      <c r="L22" s="459" t="n"/>
      <c r="M22" s="459" t="n"/>
      <c r="N22" s="459" t="n"/>
      <c r="O22" s="459" t="n"/>
      <c r="P22" s="676" t="n"/>
      <c r="Q22" s="677" t="n"/>
      <c r="R22" s="459" t="n"/>
    </row>
    <row r="23" ht="44.1" customHeight="1" s="433" thickBot="1">
      <c r="B23" s="427" t="inlineStr">
        <is>
          <t>GPU Server Block</t>
        </is>
      </c>
      <c r="C23" s="444" t="n"/>
      <c r="D23" s="444" t="n"/>
      <c r="E23" s="444" t="n"/>
      <c r="F23" s="460" t="n"/>
      <c r="G23" s="148" t="inlineStr">
        <is>
          <t>PE (Logical)</t>
        </is>
      </c>
      <c r="H23" s="148" t="inlineStr">
        <is>
          <t>W/45%</t>
        </is>
      </c>
      <c r="I23" s="147" t="inlineStr">
        <is>
          <t xml:space="preserve">Techician
 (Physical + Transactional Charges </t>
        </is>
      </c>
      <c r="J23" s="147" t="inlineStr">
        <is>
          <t>W/45%</t>
        </is>
      </c>
      <c r="K23" s="148" t="inlineStr">
        <is>
          <t>PM Costs</t>
        </is>
      </c>
      <c r="L23" s="148" t="inlineStr">
        <is>
          <t>W/45%</t>
        </is>
      </c>
      <c r="M23" s="148" t="inlineStr">
        <is>
          <t>OM Costs</t>
        </is>
      </c>
      <c r="N23" s="148" t="inlineStr">
        <is>
          <t>W/45%</t>
        </is>
      </c>
      <c r="O23" s="148" t="inlineStr">
        <is>
          <t>FORECAST</t>
        </is>
      </c>
      <c r="P23" s="148" t="inlineStr">
        <is>
          <t>PM</t>
        </is>
      </c>
      <c r="Q23" s="219" t="inlineStr">
        <is>
          <t>OM</t>
        </is>
      </c>
      <c r="R23" s="459" t="n"/>
    </row>
    <row r="24">
      <c r="B24" s="149" t="inlineStr">
        <is>
          <t>xIC</t>
        </is>
      </c>
      <c r="C24" s="150" t="inlineStr">
        <is>
          <t>WWT Costs</t>
        </is>
      </c>
      <c r="D24" s="150" t="inlineStr">
        <is>
          <t>W/45% Margin</t>
        </is>
      </c>
      <c r="E24" s="150" t="inlineStr">
        <is>
          <t>PM Hours</t>
        </is>
      </c>
      <c r="F24" s="150" t="inlineStr">
        <is>
          <t>OM Hours</t>
        </is>
      </c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459" t="n"/>
      <c r="P24" s="676" t="n"/>
      <c r="Q24" s="677" t="n"/>
      <c r="R24" s="459" t="n"/>
    </row>
    <row r="25">
      <c r="B25" s="462" t="inlineStr">
        <is>
          <t>NAIC</t>
        </is>
      </c>
      <c r="C25" s="672">
        <f>'[4]Year 1'!C25/0.9</f>
        <v/>
      </c>
      <c r="D25" s="672">
        <f>C25/0.55</f>
        <v/>
      </c>
      <c r="E25" s="153" t="n">
        <v>2</v>
      </c>
      <c r="F25" s="153" t="n">
        <v>2</v>
      </c>
      <c r="G25" s="672">
        <f>'[4]Year 1'!G25/0.9</f>
        <v/>
      </c>
      <c r="H25" s="672">
        <f>G25/0.55</f>
        <v/>
      </c>
      <c r="I25" s="672">
        <f>'[4]Year 1'!I25/0.9</f>
        <v/>
      </c>
      <c r="J25" s="672">
        <f>I25/0.55</f>
        <v/>
      </c>
      <c r="K25" s="672">
        <f>'[4]Year 1'!K25/0.9</f>
        <v/>
      </c>
      <c r="L25" s="672">
        <f>K25/0.55</f>
        <v/>
      </c>
      <c r="M25" s="672">
        <f>'[4]Year 1'!M18/0.9</f>
        <v/>
      </c>
      <c r="N25" s="672">
        <f>M25/0.55</f>
        <v/>
      </c>
      <c r="O25" s="672">
        <f>D25</f>
        <v/>
      </c>
      <c r="P25" s="678" t="n">
        <v>20</v>
      </c>
      <c r="Q25" s="679">
        <f>P25*E25</f>
        <v/>
      </c>
      <c r="R25" s="677" t="n"/>
    </row>
    <row r="26">
      <c r="B26" s="462" t="inlineStr">
        <is>
          <t>EIC</t>
        </is>
      </c>
      <c r="C26" s="672">
        <f>'[4]Year 1'!C26/0.9</f>
        <v/>
      </c>
      <c r="D26" s="672">
        <f>C26/0.55</f>
        <v/>
      </c>
      <c r="E26" s="153" t="n">
        <v>2</v>
      </c>
      <c r="F26" s="153" t="n">
        <v>2</v>
      </c>
      <c r="G26" s="672">
        <f>'[4]Year 1'!G26/0.9</f>
        <v/>
      </c>
      <c r="H26" s="672">
        <f>G26/0.55</f>
        <v/>
      </c>
      <c r="I26" s="672">
        <f>'[4]Year 1'!I26/0.9</f>
        <v/>
      </c>
      <c r="J26" s="672">
        <f>I26/0.55</f>
        <v/>
      </c>
      <c r="K26" s="672">
        <f>'[4]Year 1'!K26/0.9</f>
        <v/>
      </c>
      <c r="L26" s="672">
        <f>K26/0.55</f>
        <v/>
      </c>
      <c r="M26" s="672">
        <f>'[4]Year 1'!M19/0.9</f>
        <v/>
      </c>
      <c r="N26" s="672">
        <f>M26/0.55</f>
        <v/>
      </c>
      <c r="O26" s="672">
        <f>D26</f>
        <v/>
      </c>
      <c r="P26" s="678" t="n">
        <v>5</v>
      </c>
      <c r="Q26" s="679">
        <f>P26*E26</f>
        <v/>
      </c>
      <c r="R26" s="677" t="n"/>
    </row>
    <row r="27">
      <c r="B27" s="462" t="inlineStr">
        <is>
          <t>AIC-S</t>
        </is>
      </c>
      <c r="C27" s="672">
        <f>'[4]Year 1'!C27/0.9</f>
        <v/>
      </c>
      <c r="D27" s="672">
        <f>C27/0.55</f>
        <v/>
      </c>
      <c r="E27" s="153" t="n">
        <v>2</v>
      </c>
      <c r="F27" s="153" t="n">
        <v>2</v>
      </c>
      <c r="G27" s="672">
        <f>'[4]Year 1'!G27/0.9</f>
        <v/>
      </c>
      <c r="H27" s="672">
        <f>G27/0.55</f>
        <v/>
      </c>
      <c r="I27" s="672">
        <f>'[4]Year 1'!I27/0.9</f>
        <v/>
      </c>
      <c r="J27" s="672">
        <f>I27/0.55</f>
        <v/>
      </c>
      <c r="K27" s="672">
        <f>'[4]Year 1'!K27/0.9</f>
        <v/>
      </c>
      <c r="L27" s="672">
        <f>K27/0.55</f>
        <v/>
      </c>
      <c r="M27" s="672">
        <f>'[4]Year 1'!M20/0.9</f>
        <v/>
      </c>
      <c r="N27" s="672">
        <f>M27/0.55</f>
        <v/>
      </c>
      <c r="O27" s="672">
        <f>D27</f>
        <v/>
      </c>
      <c r="P27" s="678" t="n">
        <v>5</v>
      </c>
      <c r="Q27" s="679">
        <f>P27*E27</f>
        <v/>
      </c>
      <c r="R27" s="677" t="n"/>
    </row>
    <row r="28">
      <c r="B28" s="459" t="n"/>
      <c r="C28" s="459" t="n"/>
      <c r="D28" s="459" t="n"/>
      <c r="E28" s="459" t="n"/>
      <c r="F28" s="459" t="n"/>
      <c r="G28" s="459" t="n"/>
      <c r="H28" s="459" t="n"/>
      <c r="I28" s="459" t="n"/>
      <c r="J28" s="459" t="n"/>
      <c r="K28" s="459" t="n"/>
      <c r="L28" s="459" t="n"/>
      <c r="M28" s="459" t="n"/>
      <c r="N28" s="459" t="n"/>
      <c r="O28" s="459" t="n"/>
      <c r="P28" s="676" t="n"/>
      <c r="Q28" s="677" t="n"/>
      <c r="R28" s="459" t="n"/>
    </row>
    <row r="29" ht="15" customHeight="1" s="433" thickBot="1">
      <c r="B29" s="459" t="n"/>
      <c r="C29" s="459" t="n"/>
      <c r="D29" s="459" t="n"/>
      <c r="E29" s="459" t="n"/>
      <c r="F29" s="459" t="n"/>
      <c r="G29" s="459" t="n"/>
      <c r="H29" s="459" t="n"/>
      <c r="I29" s="459" t="n"/>
      <c r="J29" s="459" t="n"/>
      <c r="K29" s="459" t="n"/>
      <c r="L29" s="459" t="n"/>
      <c r="M29" s="459" t="n"/>
      <c r="N29" s="459" t="n"/>
      <c r="O29" s="459" t="n"/>
      <c r="P29" s="676" t="n"/>
      <c r="Q29" s="677" t="n"/>
      <c r="R29" s="459" t="n"/>
    </row>
    <row r="30" ht="44.1" customHeight="1" s="433" thickBot="1">
      <c r="B30" s="427" t="inlineStr">
        <is>
          <t>Block Storage</t>
        </is>
      </c>
      <c r="C30" s="444" t="n"/>
      <c r="D30" s="444" t="n"/>
      <c r="E30" s="444" t="n"/>
      <c r="F30" s="460" t="n"/>
      <c r="G30" s="148" t="inlineStr">
        <is>
          <t>PE (Logical)</t>
        </is>
      </c>
      <c r="H30" s="148" t="inlineStr">
        <is>
          <t>W/45%</t>
        </is>
      </c>
      <c r="I30" s="147" t="inlineStr">
        <is>
          <t xml:space="preserve">Techician
 (Physical + Transactional Charges </t>
        </is>
      </c>
      <c r="J30" s="147" t="inlineStr">
        <is>
          <t>W/45%</t>
        </is>
      </c>
      <c r="K30" s="148" t="inlineStr">
        <is>
          <t>PM Costs</t>
        </is>
      </c>
      <c r="L30" s="148" t="inlineStr">
        <is>
          <t>W/45%</t>
        </is>
      </c>
      <c r="M30" s="148" t="inlineStr">
        <is>
          <t>OM Costs</t>
        </is>
      </c>
      <c r="N30" s="148" t="inlineStr">
        <is>
          <t>W/45%</t>
        </is>
      </c>
      <c r="O30" s="148" t="inlineStr">
        <is>
          <t>FORECAST</t>
        </is>
      </c>
      <c r="P30" s="148" t="inlineStr">
        <is>
          <t>PM</t>
        </is>
      </c>
      <c r="Q30" s="219" t="inlineStr">
        <is>
          <t>OM</t>
        </is>
      </c>
      <c r="R30" s="459" t="n"/>
    </row>
    <row r="31">
      <c r="B31" s="149" t="inlineStr">
        <is>
          <t>xIC</t>
        </is>
      </c>
      <c r="C31" s="150" t="inlineStr">
        <is>
          <t>WWT Costs</t>
        </is>
      </c>
      <c r="D31" s="150" t="inlineStr">
        <is>
          <t>W/45% Margin</t>
        </is>
      </c>
      <c r="E31" s="150" t="inlineStr">
        <is>
          <t>PM Hours</t>
        </is>
      </c>
      <c r="F31" s="150" t="inlineStr">
        <is>
          <t>OM Hours</t>
        </is>
      </c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459" t="n"/>
      <c r="P31" s="676" t="n"/>
      <c r="Q31" s="677" t="n"/>
      <c r="R31" s="459" t="n"/>
    </row>
    <row r="32">
      <c r="B32" s="462" t="inlineStr">
        <is>
          <t>NAIC</t>
        </is>
      </c>
      <c r="C32" s="672">
        <f>'[4]Year 1'!C32/0.9</f>
        <v/>
      </c>
      <c r="D32" s="672">
        <f>C32/0.55</f>
        <v/>
      </c>
      <c r="E32" s="153" t="n">
        <v>2</v>
      </c>
      <c r="F32" s="153" t="n">
        <v>2</v>
      </c>
      <c r="G32" s="672">
        <f>'[4]Year 1'!G32/0.9</f>
        <v/>
      </c>
      <c r="H32" s="672">
        <f>G32/0.55</f>
        <v/>
      </c>
      <c r="I32" s="672">
        <f>'[4]Year 1'!I32/0.9</f>
        <v/>
      </c>
      <c r="J32" s="672">
        <f>I32/0.55</f>
        <v/>
      </c>
      <c r="K32" s="672">
        <f>'[4]Year 1'!K32/0.9</f>
        <v/>
      </c>
      <c r="L32" s="672">
        <f>K32/0.55</f>
        <v/>
      </c>
      <c r="M32" s="672">
        <f>'[4]Year 1'!M32/0.9</f>
        <v/>
      </c>
      <c r="N32" s="672">
        <f>M32/0.55</f>
        <v/>
      </c>
      <c r="O32" s="673">
        <f>D32</f>
        <v/>
      </c>
      <c r="P32" s="674" t="n">
        <v>45</v>
      </c>
      <c r="Q32" s="675">
        <f>P32*E32</f>
        <v/>
      </c>
      <c r="R32" s="677" t="n"/>
    </row>
    <row r="33">
      <c r="B33" s="462" t="inlineStr">
        <is>
          <t>EIC</t>
        </is>
      </c>
      <c r="C33" s="672">
        <f>'[4]Year 1'!C33/0.9</f>
        <v/>
      </c>
      <c r="D33" s="672">
        <f>C33/0.55</f>
        <v/>
      </c>
      <c r="E33" s="153" t="n">
        <v>2</v>
      </c>
      <c r="F33" s="153" t="n">
        <v>2</v>
      </c>
      <c r="G33" s="672">
        <f>'[4]Year 1'!G33/0.9</f>
        <v/>
      </c>
      <c r="H33" s="672">
        <f>G33/0.55</f>
        <v/>
      </c>
      <c r="I33" s="672">
        <f>'[4]Year 1'!I33/0.9</f>
        <v/>
      </c>
      <c r="J33" s="672">
        <f>I33/0.55</f>
        <v/>
      </c>
      <c r="K33" s="672">
        <f>'[4]Year 1'!K33/0.9</f>
        <v/>
      </c>
      <c r="L33" s="672">
        <f>K33/0.55</f>
        <v/>
      </c>
      <c r="M33" s="672">
        <f>'[4]Year 1'!M33/0.9</f>
        <v/>
      </c>
      <c r="N33" s="672">
        <f>M33/0.55</f>
        <v/>
      </c>
      <c r="O33" s="673">
        <f>D33</f>
        <v/>
      </c>
      <c r="P33" s="674" t="n">
        <v>5</v>
      </c>
      <c r="Q33" s="675">
        <f>P33*E33</f>
        <v/>
      </c>
      <c r="R33" s="677" t="n"/>
    </row>
    <row r="34">
      <c r="B34" s="462" t="inlineStr">
        <is>
          <t>AIC-S</t>
        </is>
      </c>
      <c r="C34" s="672">
        <f>'[4]Year 1'!C34/0.9</f>
        <v/>
      </c>
      <c r="D34" s="672">
        <f>C34/0.55</f>
        <v/>
      </c>
      <c r="E34" s="153" t="n">
        <v>2</v>
      </c>
      <c r="F34" s="153" t="n">
        <v>2</v>
      </c>
      <c r="G34" s="672">
        <f>'[4]Year 1'!G34/0.9</f>
        <v/>
      </c>
      <c r="H34" s="672">
        <f>G34/0.55</f>
        <v/>
      </c>
      <c r="I34" s="672">
        <f>'[4]Year 1'!I34/0.9</f>
        <v/>
      </c>
      <c r="J34" s="672" t="n">
        <v>150.62</v>
      </c>
      <c r="K34" s="672">
        <f>'[4]Year 1'!K34/0.9</f>
        <v/>
      </c>
      <c r="L34" s="672">
        <f>K34/0.55</f>
        <v/>
      </c>
      <c r="M34" s="672">
        <f>'[4]Year 1'!M34/0.9</f>
        <v/>
      </c>
      <c r="N34" s="672">
        <f>M34/0.55</f>
        <v/>
      </c>
      <c r="O34" s="673">
        <f>D34</f>
        <v/>
      </c>
      <c r="P34" s="674" t="n">
        <v>5</v>
      </c>
      <c r="Q34" s="675">
        <f>P34*E34</f>
        <v/>
      </c>
      <c r="R34" s="677" t="n"/>
    </row>
    <row r="35" ht="15" customHeight="1" s="433" thickBot="1">
      <c r="B35" s="459" t="n"/>
      <c r="C35" s="459" t="n"/>
      <c r="D35" s="459" t="n"/>
      <c r="E35" s="459" t="n"/>
      <c r="F35" s="459" t="n"/>
      <c r="G35" s="459" t="n"/>
      <c r="H35" s="459" t="n"/>
      <c r="I35" s="459" t="n"/>
      <c r="J35" s="459" t="n"/>
      <c r="K35" s="459" t="n"/>
      <c r="L35" s="459" t="n"/>
      <c r="M35" s="459" t="n"/>
      <c r="N35" s="459" t="n"/>
      <c r="O35" s="459" t="n"/>
      <c r="P35" s="676" t="n"/>
      <c r="Q35" s="677" t="n"/>
      <c r="R35" s="459" t="n"/>
    </row>
    <row r="36" ht="44.1" customHeight="1" s="433" thickBot="1">
      <c r="B36" s="427" t="inlineStr">
        <is>
          <t>Object Storage</t>
        </is>
      </c>
      <c r="C36" s="444" t="n"/>
      <c r="D36" s="444" t="n"/>
      <c r="E36" s="444" t="n"/>
      <c r="F36" s="460" t="n"/>
      <c r="G36" s="148" t="inlineStr">
        <is>
          <t>PE (Logical)</t>
        </is>
      </c>
      <c r="H36" s="148" t="inlineStr">
        <is>
          <t>W/45%</t>
        </is>
      </c>
      <c r="I36" s="147" t="inlineStr">
        <is>
          <t xml:space="preserve">Techician
 (Physical + Transactional Charges </t>
        </is>
      </c>
      <c r="J36" s="147" t="inlineStr">
        <is>
          <t>W/45%</t>
        </is>
      </c>
      <c r="K36" s="148" t="inlineStr">
        <is>
          <t>PM Costs</t>
        </is>
      </c>
      <c r="L36" s="148" t="inlineStr">
        <is>
          <t>W/45%</t>
        </is>
      </c>
      <c r="M36" s="148" t="inlineStr">
        <is>
          <t>OM Costs</t>
        </is>
      </c>
      <c r="N36" s="148" t="inlineStr">
        <is>
          <t>W/45%</t>
        </is>
      </c>
      <c r="O36" s="148" t="inlineStr">
        <is>
          <t>FORECAST</t>
        </is>
      </c>
      <c r="P36" s="148" t="inlineStr">
        <is>
          <t>PM</t>
        </is>
      </c>
      <c r="Q36" s="219" t="inlineStr">
        <is>
          <t>OM</t>
        </is>
      </c>
      <c r="R36" s="459" t="n"/>
    </row>
    <row r="37">
      <c r="B37" s="149" t="inlineStr">
        <is>
          <t>xIC</t>
        </is>
      </c>
      <c r="C37" s="150" t="inlineStr">
        <is>
          <t>WWT Costs</t>
        </is>
      </c>
      <c r="D37" s="150" t="inlineStr">
        <is>
          <t>W/45% Margin</t>
        </is>
      </c>
      <c r="E37" s="150" t="inlineStr">
        <is>
          <t>PM Hours</t>
        </is>
      </c>
      <c r="F37" s="150" t="inlineStr">
        <is>
          <t>OM Hours</t>
        </is>
      </c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459" t="n"/>
      <c r="P37" s="676" t="n"/>
      <c r="Q37" s="677" t="n"/>
      <c r="R37" s="459" t="n"/>
    </row>
    <row r="38">
      <c r="B38" s="462" t="inlineStr">
        <is>
          <t>NAIC</t>
        </is>
      </c>
      <c r="C38" s="672">
        <f>'[4]Year 1'!C39/0.9</f>
        <v/>
      </c>
      <c r="D38" s="672">
        <f>C38/0.55</f>
        <v/>
      </c>
      <c r="E38" s="153" t="n">
        <v>2</v>
      </c>
      <c r="F38" s="153" t="n">
        <v>2</v>
      </c>
      <c r="G38" s="672">
        <f>'[4]Year 1'!G39/0.9</f>
        <v/>
      </c>
      <c r="H38" s="672">
        <f>G38/0.55</f>
        <v/>
      </c>
      <c r="I38" s="672">
        <f>'[4]Year 1'!I39/0.9</f>
        <v/>
      </c>
      <c r="J38" s="672">
        <f>I38/0.55</f>
        <v/>
      </c>
      <c r="K38" s="672">
        <f>'[4]Year 1'!K39/0.9</f>
        <v/>
      </c>
      <c r="L38" s="672">
        <f>K38/0.55</f>
        <v/>
      </c>
      <c r="M38" s="672">
        <f>'[4]Year 1'!M39/0.9</f>
        <v/>
      </c>
      <c r="N38" s="672">
        <f>M38/0.55</f>
        <v/>
      </c>
      <c r="O38" s="672">
        <f>D38</f>
        <v/>
      </c>
      <c r="P38" s="676" t="n">
        <v>0</v>
      </c>
      <c r="Q38" s="677">
        <f>P38*E38</f>
        <v/>
      </c>
      <c r="R38" s="677" t="n"/>
    </row>
    <row r="39">
      <c r="B39" s="462" t="inlineStr">
        <is>
          <t>EIC</t>
        </is>
      </c>
      <c r="C39" s="672">
        <f>'[4]Year 1'!C40/0.9</f>
        <v/>
      </c>
      <c r="D39" s="672">
        <f>C39/0.55</f>
        <v/>
      </c>
      <c r="E39" s="153" t="n">
        <v>2</v>
      </c>
      <c r="F39" s="153" t="n">
        <v>2</v>
      </c>
      <c r="G39" s="672">
        <f>'[4]Year 1'!G40/0.9</f>
        <v/>
      </c>
      <c r="H39" s="672">
        <f>G39/0.55</f>
        <v/>
      </c>
      <c r="I39" s="672">
        <f>'[4]Year 1'!I40/0.9</f>
        <v/>
      </c>
      <c r="J39" s="672">
        <f>I39/0.55</f>
        <v/>
      </c>
      <c r="K39" s="672">
        <f>'[4]Year 1'!K40/0.9</f>
        <v/>
      </c>
      <c r="L39" s="672">
        <f>K39/0.55</f>
        <v/>
      </c>
      <c r="M39" s="672">
        <f>'[4]Year 1'!M40/0.9</f>
        <v/>
      </c>
      <c r="N39" s="672">
        <f>M39/0.55</f>
        <v/>
      </c>
      <c r="O39" s="672">
        <f>D39</f>
        <v/>
      </c>
      <c r="P39" s="676" t="n">
        <v>0</v>
      </c>
      <c r="Q39" s="677">
        <f>P39*E39</f>
        <v/>
      </c>
      <c r="R39" s="677" t="n"/>
    </row>
    <row r="40">
      <c r="B40" s="462" t="inlineStr">
        <is>
          <t>AIC-S</t>
        </is>
      </c>
      <c r="C40" s="672">
        <f>'[4]Year 1'!C41/0.9</f>
        <v/>
      </c>
      <c r="D40" s="672">
        <f>C40/0.55</f>
        <v/>
      </c>
      <c r="E40" s="153" t="n">
        <v>2</v>
      </c>
      <c r="F40" s="153" t="n">
        <v>2</v>
      </c>
      <c r="G40" s="672">
        <f>'[4]Year 1'!G41/0.9</f>
        <v/>
      </c>
      <c r="H40" s="672">
        <f>G40/0.55</f>
        <v/>
      </c>
      <c r="I40" s="672">
        <f>'[4]Year 1'!I41/0.9</f>
        <v/>
      </c>
      <c r="J40" s="672">
        <f>I40/0.55</f>
        <v/>
      </c>
      <c r="K40" s="672">
        <f>'[4]Year 1'!K41/0.9</f>
        <v/>
      </c>
      <c r="L40" s="672">
        <f>K40/0.55</f>
        <v/>
      </c>
      <c r="M40" s="672">
        <f>'[4]Year 1'!M41/0.9</f>
        <v/>
      </c>
      <c r="N40" s="672">
        <f>M40/0.55</f>
        <v/>
      </c>
      <c r="O40" s="672">
        <f>D40</f>
        <v/>
      </c>
      <c r="P40" s="676" t="n">
        <v>0</v>
      </c>
      <c r="Q40" s="677">
        <f>P40*E40</f>
        <v/>
      </c>
      <c r="R40" s="677" t="n"/>
    </row>
  </sheetData>
  <mergeCells count="6">
    <mergeCell ref="B30:F30"/>
    <mergeCell ref="B16:F16"/>
    <mergeCell ref="B2:F2"/>
    <mergeCell ref="B23:F23"/>
    <mergeCell ref="B36:F36"/>
    <mergeCell ref="B9:F9"/>
  </mergeCells>
  <pageMargins left="0.7" right="0.7" top="0.75" bottom="0.75" header="0.3" footer="0.3"/>
  <headerFooter>
    <oddHeader/>
    <oddFooter>&amp;C&amp;"Calibri"&amp;10 &amp;KFF0000_x000d_# RESTRICTED_x000d_&amp;1#&amp;"Calibri"&amp;10 &amp;K008000 GENERAL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5"/>
  <sheetViews>
    <sheetView showGridLines="0" workbookViewId="0">
      <selection activeCell="A1" sqref="A1"/>
    </sheetView>
  </sheetViews>
  <sheetFormatPr baseColWidth="8" defaultColWidth="9" defaultRowHeight="14.45"/>
  <cols>
    <col width="16.375" customWidth="1" style="92" min="1" max="1"/>
    <col width="14.375" customWidth="1" style="680" min="2" max="9"/>
    <col width="18" customWidth="1" style="680" min="10" max="10"/>
    <col width="14.375" customWidth="1" style="680" min="11" max="19"/>
    <col width="9" customWidth="1" style="92" min="20" max="20"/>
    <col width="9" customWidth="1" style="92" min="21" max="16384"/>
  </cols>
  <sheetData>
    <row r="1" ht="31.5" customHeight="1" s="433">
      <c r="A1" s="466" t="n"/>
      <c r="B1" s="681" t="inlineStr">
        <is>
          <t>Deployment - Per Install -  Commercial</t>
        </is>
      </c>
      <c r="C1" s="437" t="n"/>
      <c r="D1" s="437" t="n"/>
      <c r="E1" s="437" t="n"/>
      <c r="F1" s="437" t="n"/>
      <c r="G1" s="437" t="n"/>
      <c r="H1" s="437" t="n"/>
      <c r="I1" s="437" t="n"/>
      <c r="J1" s="432" t="n"/>
      <c r="K1" s="682" t="inlineStr">
        <is>
          <t>Deployment - Per Install - Public Sector</t>
        </is>
      </c>
      <c r="L1" s="437" t="n"/>
      <c r="M1" s="437" t="n"/>
      <c r="N1" s="437" t="n"/>
      <c r="O1" s="437" t="n"/>
      <c r="P1" s="432" t="n"/>
      <c r="Q1" s="683" t="n"/>
      <c r="R1" s="683" t="n"/>
      <c r="S1" s="683" t="n"/>
    </row>
    <row r="2" ht="57.95" customFormat="1" customHeight="1" s="93">
      <c r="A2" s="95" t="inlineStr">
        <is>
          <t>Country</t>
        </is>
      </c>
      <c r="B2" s="684" t="inlineStr">
        <is>
          <t xml:space="preserve">GDCH-Base </t>
        </is>
      </c>
      <c r="C2" s="684" t="inlineStr">
        <is>
          <t>Expansion Rack (OIR, Compute, FileBlock Storage)</t>
        </is>
      </c>
      <c r="D2" s="684" t="inlineStr">
        <is>
          <t>Expansion Blocks – Standard Compute 
(STD Block)</t>
        </is>
      </c>
      <c r="E2" s="684" t="inlineStr">
        <is>
          <t>Expansion Blocks – GPU Compute (GDC-GPU Block)</t>
        </is>
      </c>
      <c r="F2" s="684" t="inlineStr">
        <is>
          <t>Expansion Blocks – GDC-A400 Block</t>
        </is>
      </c>
      <c r="G2" s="684" t="inlineStr">
        <is>
          <t>Expansion Blocks – Obj-Block &amp; GDC Appliance</t>
        </is>
      </c>
      <c r="H2" s="685" t="inlineStr">
        <is>
          <t>Expansion Block - GDC Appliance</t>
        </is>
      </c>
      <c r="I2" s="684" t="inlineStr">
        <is>
          <t>Decomm - Base</t>
        </is>
      </c>
      <c r="J2" s="684" t="inlineStr">
        <is>
          <t>Decomm - Expansion</t>
        </is>
      </c>
      <c r="K2" s="684" t="inlineStr">
        <is>
          <t xml:space="preserve">GDCH-Base </t>
        </is>
      </c>
      <c r="L2" s="684" t="inlineStr">
        <is>
          <t>Expansion Rack (OIR, Compute, FileBlock Storage)</t>
        </is>
      </c>
      <c r="M2" s="684" t="inlineStr">
        <is>
          <t>Expansion Blocks – Standard Compute 
(STD Block)</t>
        </is>
      </c>
      <c r="N2" s="684" t="inlineStr">
        <is>
          <t>Expansion Blocks – GPU Compute (GDC-GPU Block)</t>
        </is>
      </c>
      <c r="O2" s="684" t="inlineStr">
        <is>
          <t>Expansion Blocks – GDC-A400 Block</t>
        </is>
      </c>
      <c r="P2" s="684" t="inlineStr">
        <is>
          <t>Expansion Blocks – Obj-Block &amp; GDC Appliance</t>
        </is>
      </c>
      <c r="Q2" s="685" t="inlineStr">
        <is>
          <t>Expansion Block - GDC Appliance</t>
        </is>
      </c>
      <c r="R2" s="684" t="inlineStr">
        <is>
          <t>Decomm - Base</t>
        </is>
      </c>
      <c r="S2" s="684" t="inlineStr">
        <is>
          <t>Decomm - Expansion</t>
        </is>
      </c>
    </row>
    <row r="3">
      <c r="A3" s="467" t="inlineStr">
        <is>
          <t>USA</t>
        </is>
      </c>
      <c r="B3" s="686" t="n">
        <v>6127.06447592068</v>
      </c>
      <c r="C3" s="686" t="n">
        <v>4675.022685552409</v>
      </c>
      <c r="D3" s="686" t="n">
        <v>3676.238685552408</v>
      </c>
      <c r="E3" s="686" t="n">
        <v>2927.150685552408</v>
      </c>
      <c r="F3" s="686" t="n">
        <v>1951.433790368272</v>
      </c>
      <c r="G3" s="686" t="n">
        <v>1951.433790368272</v>
      </c>
      <c r="H3" s="687">
        <f>E3</f>
        <v/>
      </c>
      <c r="I3" s="686" t="n">
        <v>1386</v>
      </c>
      <c r="J3" s="686" t="n">
        <v>666</v>
      </c>
      <c r="K3" s="686" t="n">
        <v>7613.14447592068</v>
      </c>
      <c r="L3" s="686" t="n">
        <v>5863.886685552408</v>
      </c>
      <c r="M3" s="686" t="n">
        <v>4567.886685552408</v>
      </c>
      <c r="N3" s="686" t="n">
        <v>3595.886685552408</v>
      </c>
      <c r="O3" s="686" t="n">
        <v>2397.257790368272</v>
      </c>
      <c r="P3" s="686" t="n">
        <v>2397.257790368272</v>
      </c>
      <c r="Q3" s="687">
        <f>N3</f>
        <v/>
      </c>
      <c r="R3" s="686" t="n">
        <v>1806</v>
      </c>
      <c r="S3" s="686" t="n">
        <v>834</v>
      </c>
    </row>
    <row r="4" customFormat="1" s="130">
      <c r="A4" s="127" t="inlineStr">
        <is>
          <t>Brazil</t>
        </is>
      </c>
      <c r="B4" s="688" t="n">
        <v>6127.06447592068</v>
      </c>
      <c r="C4" s="688" t="n">
        <v>4675.022685552409</v>
      </c>
      <c r="D4" s="688" t="n">
        <v>3676.238685552408</v>
      </c>
      <c r="E4" s="688" t="n">
        <v>2927.150685552408</v>
      </c>
      <c r="F4" s="688" t="n">
        <v>1951.433790368272</v>
      </c>
      <c r="G4" s="688" t="n">
        <v>1951.433790368272</v>
      </c>
      <c r="H4" s="689">
        <f>E4</f>
        <v/>
      </c>
      <c r="I4" s="688" t="n">
        <v>1386</v>
      </c>
      <c r="J4" s="688" t="n">
        <v>666</v>
      </c>
      <c r="K4" s="688" t="n">
        <v>7613.14447592068</v>
      </c>
      <c r="L4" s="688" t="n">
        <v>5863.886685552408</v>
      </c>
      <c r="M4" s="688" t="n">
        <v>4567.886685552408</v>
      </c>
      <c r="N4" s="688" t="n">
        <v>3595.886685552408</v>
      </c>
      <c r="O4" s="688" t="n">
        <v>2397.257790368272</v>
      </c>
      <c r="P4" s="688" t="n">
        <v>2397.257790368272</v>
      </c>
      <c r="Q4" s="689">
        <f>N4</f>
        <v/>
      </c>
      <c r="R4" s="688" t="n">
        <v>1806</v>
      </c>
      <c r="S4" s="688" t="n">
        <v>834</v>
      </c>
    </row>
    <row r="5">
      <c r="A5" s="467" t="inlineStr">
        <is>
          <t>Canada</t>
        </is>
      </c>
      <c r="B5" s="686" t="n">
        <v>6127.06447592068</v>
      </c>
      <c r="C5" s="686" t="n">
        <v>4675.022685552409</v>
      </c>
      <c r="D5" s="686" t="n">
        <v>3676.238685552408</v>
      </c>
      <c r="E5" s="686" t="n">
        <v>2927.150685552408</v>
      </c>
      <c r="F5" s="686" t="n">
        <v>1951.433790368272</v>
      </c>
      <c r="G5" s="686" t="n">
        <v>1951.433790368272</v>
      </c>
      <c r="H5" s="687">
        <f>E5</f>
        <v/>
      </c>
      <c r="I5" s="686" t="n">
        <v>1386</v>
      </c>
      <c r="J5" s="686" t="n">
        <v>666</v>
      </c>
      <c r="K5" s="686" t="n">
        <v>7613.14447592068</v>
      </c>
      <c r="L5" s="686" t="n">
        <v>5863.886685552408</v>
      </c>
      <c r="M5" s="686" t="n">
        <v>4567.886685552408</v>
      </c>
      <c r="N5" s="686" t="n">
        <v>3595.886685552408</v>
      </c>
      <c r="O5" s="686" t="n">
        <v>2397.257790368272</v>
      </c>
      <c r="P5" s="686" t="n">
        <v>2397.257790368272</v>
      </c>
      <c r="Q5" s="687">
        <f>N5</f>
        <v/>
      </c>
      <c r="R5" s="686" t="n">
        <v>1806</v>
      </c>
      <c r="S5" s="686" t="n">
        <v>834</v>
      </c>
    </row>
    <row r="6">
      <c r="A6" s="467" t="inlineStr">
        <is>
          <t>Colombia</t>
        </is>
      </c>
      <c r="B6" s="686" t="n">
        <v>6127.06447592068</v>
      </c>
      <c r="C6" s="686" t="n">
        <v>4675.022685552409</v>
      </c>
      <c r="D6" s="686" t="n">
        <v>3676.238685552408</v>
      </c>
      <c r="E6" s="686" t="n">
        <v>2927.150685552408</v>
      </c>
      <c r="F6" s="686" t="n">
        <v>1951.433790368272</v>
      </c>
      <c r="G6" s="686" t="n">
        <v>1951.433790368272</v>
      </c>
      <c r="H6" s="687">
        <f>E6</f>
        <v/>
      </c>
      <c r="I6" s="686" t="n">
        <v>1386</v>
      </c>
      <c r="J6" s="686" t="n">
        <v>666</v>
      </c>
      <c r="K6" s="686" t="n">
        <v>7613.14447592068</v>
      </c>
      <c r="L6" s="686" t="n">
        <v>5863.886685552408</v>
      </c>
      <c r="M6" s="686" t="n">
        <v>4567.886685552408</v>
      </c>
      <c r="N6" s="686" t="n">
        <v>3595.886685552408</v>
      </c>
      <c r="O6" s="686" t="n">
        <v>2397.257790368272</v>
      </c>
      <c r="P6" s="686" t="n">
        <v>2397.257790368272</v>
      </c>
      <c r="Q6" s="687">
        <f>N6</f>
        <v/>
      </c>
      <c r="R6" s="686" t="n">
        <v>1806</v>
      </c>
      <c r="S6" s="686" t="n">
        <v>834</v>
      </c>
    </row>
    <row r="7">
      <c r="A7" s="467" t="inlineStr">
        <is>
          <t>Mexico</t>
        </is>
      </c>
      <c r="B7" s="686" t="n">
        <v>4628.88847592068</v>
      </c>
      <c r="C7" s="686" t="n">
        <v>3476.481885552408</v>
      </c>
      <c r="D7" s="686" t="n">
        <v>2777.333085552408</v>
      </c>
      <c r="E7" s="686" t="n">
        <v>2252.971485552408</v>
      </c>
      <c r="F7" s="686" t="n">
        <v>1501.980990368272</v>
      </c>
      <c r="G7" s="686" t="n">
        <v>1501.980990368272</v>
      </c>
      <c r="H7" s="687">
        <f>E7</f>
        <v/>
      </c>
      <c r="I7" s="686" t="n">
        <v>1026</v>
      </c>
      <c r="J7" s="686" t="n">
        <v>522</v>
      </c>
      <c r="K7" s="686" t="n">
        <v>5669.14447592068</v>
      </c>
      <c r="L7" s="686" t="n">
        <v>4308.686685552408</v>
      </c>
      <c r="M7" s="686" t="n">
        <v>3401.486685552408</v>
      </c>
      <c r="N7" s="686" t="n">
        <v>2721.086685552408</v>
      </c>
      <c r="O7" s="686" t="n">
        <v>1814.057790368272</v>
      </c>
      <c r="P7" s="686" t="n">
        <v>1814.057790368272</v>
      </c>
      <c r="Q7" s="687">
        <f>N7</f>
        <v/>
      </c>
      <c r="R7" s="686" t="n">
        <v>1320</v>
      </c>
      <c r="S7" s="686" t="n">
        <v>639.6</v>
      </c>
    </row>
    <row r="8">
      <c r="A8" s="467" t="inlineStr">
        <is>
          <t>Australia</t>
        </is>
      </c>
      <c r="B8" s="686" t="n">
        <v>7625.24047592068</v>
      </c>
      <c r="C8" s="686" t="n">
        <v>5873.563485552408</v>
      </c>
      <c r="D8" s="686" t="n">
        <v>4575.144285552407</v>
      </c>
      <c r="E8" s="686" t="n">
        <v>3601.329885552408</v>
      </c>
      <c r="F8" s="686" t="n">
        <v>2400.886590368272</v>
      </c>
      <c r="G8" s="686" t="n">
        <v>2400.886590368272</v>
      </c>
      <c r="H8" s="687">
        <f>E8</f>
        <v/>
      </c>
      <c r="I8" s="686" t="n">
        <v>1746</v>
      </c>
      <c r="J8" s="686" t="n">
        <v>810</v>
      </c>
      <c r="K8" s="686" t="n">
        <v>9557.144475920681</v>
      </c>
      <c r="L8" s="686" t="n">
        <v>7419.086685552409</v>
      </c>
      <c r="M8" s="686" t="n">
        <v>5734.286685552408</v>
      </c>
      <c r="N8" s="686" t="n">
        <v>4470.686685552408</v>
      </c>
      <c r="O8" s="686" t="n">
        <v>2980.457790368272</v>
      </c>
      <c r="P8" s="686" t="n">
        <v>2980.457790368272</v>
      </c>
      <c r="Q8" s="687">
        <f>N8</f>
        <v/>
      </c>
      <c r="R8" s="686" t="n">
        <v>2292</v>
      </c>
      <c r="S8" s="686" t="n">
        <v>1028.4</v>
      </c>
    </row>
    <row r="9">
      <c r="A9" s="467" t="inlineStr">
        <is>
          <t>India</t>
        </is>
      </c>
      <c r="B9" s="686" t="n">
        <v>4628.88847592068</v>
      </c>
      <c r="C9" s="686" t="n">
        <v>3476.481885552408</v>
      </c>
      <c r="D9" s="686" t="n">
        <v>2777.333085552408</v>
      </c>
      <c r="E9" s="686" t="n">
        <v>2252.971485552408</v>
      </c>
      <c r="F9" s="686" t="n">
        <v>1501.980990368272</v>
      </c>
      <c r="G9" s="686" t="n">
        <v>1501.980990368272</v>
      </c>
      <c r="H9" s="687">
        <f>E9</f>
        <v/>
      </c>
      <c r="I9" s="686" t="n">
        <v>1026</v>
      </c>
      <c r="J9" s="686" t="n">
        <v>522</v>
      </c>
      <c r="K9" s="686" t="n">
        <v>5669.14447592068</v>
      </c>
      <c r="L9" s="686" t="n">
        <v>4308.686685552408</v>
      </c>
      <c r="M9" s="686" t="n">
        <v>3401.486685552408</v>
      </c>
      <c r="N9" s="686" t="n">
        <v>2721.086685552408</v>
      </c>
      <c r="O9" s="686" t="n">
        <v>1814.057790368272</v>
      </c>
      <c r="P9" s="686" t="n">
        <v>1814.057790368272</v>
      </c>
      <c r="Q9" s="687">
        <f>N9</f>
        <v/>
      </c>
      <c r="R9" s="686" t="n">
        <v>1320</v>
      </c>
      <c r="S9" s="686" t="n">
        <v>639.6</v>
      </c>
    </row>
    <row r="10">
      <c r="A10" s="467" t="inlineStr">
        <is>
          <t>Indonesia</t>
        </is>
      </c>
      <c r="B10" s="686" t="n">
        <v>4628.88847592068</v>
      </c>
      <c r="C10" s="686" t="n">
        <v>3476.481885552408</v>
      </c>
      <c r="D10" s="686" t="n">
        <v>2777.333085552408</v>
      </c>
      <c r="E10" s="686" t="n">
        <v>2252.971485552408</v>
      </c>
      <c r="F10" s="686" t="n">
        <v>1501.980990368272</v>
      </c>
      <c r="G10" s="686" t="n">
        <v>1501.980990368272</v>
      </c>
      <c r="H10" s="687">
        <f>E10</f>
        <v/>
      </c>
      <c r="I10" s="686" t="n">
        <v>1026</v>
      </c>
      <c r="J10" s="686" t="n">
        <v>522</v>
      </c>
      <c r="K10" s="686" t="n">
        <v>5669.14447592068</v>
      </c>
      <c r="L10" s="686" t="n">
        <v>4308.686685552408</v>
      </c>
      <c r="M10" s="686" t="n">
        <v>3401.486685552408</v>
      </c>
      <c r="N10" s="686" t="n">
        <v>2721.086685552408</v>
      </c>
      <c r="O10" s="686" t="n">
        <v>1814.057790368272</v>
      </c>
      <c r="P10" s="686" t="n">
        <v>1814.057790368272</v>
      </c>
      <c r="Q10" s="687">
        <f>N10</f>
        <v/>
      </c>
      <c r="R10" s="686" t="n">
        <v>1320</v>
      </c>
      <c r="S10" s="686" t="n">
        <v>639.6</v>
      </c>
    </row>
    <row r="11">
      <c r="A11" s="467" t="inlineStr">
        <is>
          <t>Japan</t>
        </is>
      </c>
      <c r="B11" s="686" t="n">
        <v>8624.02447592068</v>
      </c>
      <c r="C11" s="686" t="n">
        <v>6672.590685552408</v>
      </c>
      <c r="D11" s="686" t="n">
        <v>5174.414685552409</v>
      </c>
      <c r="E11" s="686" t="n">
        <v>4050.782685552408</v>
      </c>
      <c r="F11" s="686" t="n">
        <v>2700.521790368272</v>
      </c>
      <c r="G11" s="686" t="n">
        <v>2700.521790368272</v>
      </c>
      <c r="H11" s="687">
        <f>E11</f>
        <v/>
      </c>
      <c r="I11" s="686" t="n">
        <v>1986</v>
      </c>
      <c r="J11" s="686" t="n">
        <v>906</v>
      </c>
      <c r="K11" s="686" t="n">
        <v>10853.14447592068</v>
      </c>
      <c r="L11" s="686" t="n">
        <v>8455.886685552408</v>
      </c>
      <c r="M11" s="686" t="n">
        <v>6511.886685552408</v>
      </c>
      <c r="N11" s="686" t="n">
        <v>5053.886685552408</v>
      </c>
      <c r="O11" s="686" t="n">
        <v>3369.257790368272</v>
      </c>
      <c r="P11" s="686" t="n">
        <v>3369.257790368272</v>
      </c>
      <c r="Q11" s="687">
        <f>N11</f>
        <v/>
      </c>
      <c r="R11" s="686" t="n">
        <v>2616</v>
      </c>
      <c r="S11" s="686" t="n">
        <v>1158</v>
      </c>
    </row>
    <row r="12">
      <c r="A12" s="467" t="inlineStr">
        <is>
          <t>Malaysia</t>
        </is>
      </c>
      <c r="B12" s="686" t="n">
        <v>4878.584475920679</v>
      </c>
      <c r="C12" s="686" t="n">
        <v>3676.238685552408</v>
      </c>
      <c r="D12" s="686" t="n">
        <v>2927.150685552408</v>
      </c>
      <c r="E12" s="686" t="n">
        <v>2365.334685552408</v>
      </c>
      <c r="F12" s="686" t="n">
        <v>1576.889790368272</v>
      </c>
      <c r="G12" s="686" t="n">
        <v>1576.889790368272</v>
      </c>
      <c r="H12" s="687">
        <f>E12</f>
        <v/>
      </c>
      <c r="I12" s="686" t="n">
        <v>1086</v>
      </c>
      <c r="J12" s="686" t="n">
        <v>546</v>
      </c>
      <c r="K12" s="686" t="n">
        <v>5993.144475920681</v>
      </c>
      <c r="L12" s="686" t="n">
        <v>4567.886685552408</v>
      </c>
      <c r="M12" s="686" t="n">
        <v>3595.886685552408</v>
      </c>
      <c r="N12" s="686" t="n">
        <v>2866.886685552408</v>
      </c>
      <c r="O12" s="686" t="n">
        <v>1911.257790368272</v>
      </c>
      <c r="P12" s="686" t="n">
        <v>1911.257790368272</v>
      </c>
      <c r="Q12" s="687">
        <f>N12</f>
        <v/>
      </c>
      <c r="R12" s="686" t="n">
        <v>1401</v>
      </c>
      <c r="S12" s="686" t="n">
        <v>672</v>
      </c>
    </row>
    <row r="13">
      <c r="A13" s="467" t="inlineStr">
        <is>
          <t>New Zealand</t>
        </is>
      </c>
      <c r="B13" s="686" t="n">
        <v>7375.544475920679</v>
      </c>
      <c r="C13" s="686" t="n">
        <v>5673.806685552408</v>
      </c>
      <c r="D13" s="686" t="n">
        <v>4425.326685552408</v>
      </c>
      <c r="E13" s="686" t="n">
        <v>3488.966685552408</v>
      </c>
      <c r="F13" s="686" t="n">
        <v>2325.977790368272</v>
      </c>
      <c r="G13" s="686" t="n">
        <v>2325.977790368272</v>
      </c>
      <c r="H13" s="687">
        <f>E13</f>
        <v/>
      </c>
      <c r="I13" s="686" t="n">
        <v>1686</v>
      </c>
      <c r="J13" s="686" t="n">
        <v>786</v>
      </c>
      <c r="K13" s="686" t="n">
        <v>9233.144475920681</v>
      </c>
      <c r="L13" s="686" t="n">
        <v>7159.886685552408</v>
      </c>
      <c r="M13" s="686" t="n">
        <v>5539.886685552408</v>
      </c>
      <c r="N13" s="686" t="n">
        <v>4324.886685552408</v>
      </c>
      <c r="O13" s="686" t="n">
        <v>2883.257790368272</v>
      </c>
      <c r="P13" s="686" t="n">
        <v>2883.257790368272</v>
      </c>
      <c r="Q13" s="687">
        <f>N13</f>
        <v/>
      </c>
      <c r="R13" s="686" t="n">
        <v>2211</v>
      </c>
      <c r="S13" s="686" t="n">
        <v>996</v>
      </c>
    </row>
    <row r="14">
      <c r="A14" s="467" t="inlineStr">
        <is>
          <t>Philippines</t>
        </is>
      </c>
      <c r="B14" s="686" t="n">
        <v>4628.88847592068</v>
      </c>
      <c r="C14" s="686" t="n">
        <v>3476.481885552408</v>
      </c>
      <c r="D14" s="686" t="n">
        <v>2777.333085552408</v>
      </c>
      <c r="E14" s="686" t="n">
        <v>2252.971485552408</v>
      </c>
      <c r="F14" s="686" t="n">
        <v>1501.980990368272</v>
      </c>
      <c r="G14" s="686" t="n">
        <v>1501.980990368272</v>
      </c>
      <c r="H14" s="687">
        <f>E14</f>
        <v/>
      </c>
      <c r="I14" s="686" t="n">
        <v>1026</v>
      </c>
      <c r="J14" s="686" t="n">
        <v>522</v>
      </c>
      <c r="K14" s="686" t="n">
        <v>5669.14447592068</v>
      </c>
      <c r="L14" s="686" t="n">
        <v>4308.686685552408</v>
      </c>
      <c r="M14" s="686" t="n">
        <v>3401.486685552408</v>
      </c>
      <c r="N14" s="686" t="n">
        <v>2721.086685552408</v>
      </c>
      <c r="O14" s="686" t="n">
        <v>1814.057790368272</v>
      </c>
      <c r="P14" s="686" t="n">
        <v>1814.057790368272</v>
      </c>
      <c r="Q14" s="687">
        <f>N14</f>
        <v/>
      </c>
      <c r="R14" s="686" t="n">
        <v>1320</v>
      </c>
      <c r="S14" s="686" t="n">
        <v>639.6</v>
      </c>
    </row>
    <row r="15">
      <c r="A15" s="467" t="inlineStr">
        <is>
          <t>Singapore</t>
        </is>
      </c>
      <c r="B15" s="686" t="n">
        <v>7125.848475920679</v>
      </c>
      <c r="C15" s="686" t="n">
        <v>5474.049885552407</v>
      </c>
      <c r="D15" s="686" t="n">
        <v>4275.509085552409</v>
      </c>
      <c r="E15" s="686" t="n">
        <v>3376.603485552408</v>
      </c>
      <c r="F15" s="686" t="n">
        <v>2251.068990368272</v>
      </c>
      <c r="G15" s="686" t="n">
        <v>2251.068990368272</v>
      </c>
      <c r="H15" s="687">
        <f>E15</f>
        <v/>
      </c>
      <c r="I15" s="686" t="n">
        <v>1626</v>
      </c>
      <c r="J15" s="686" t="n">
        <v>762</v>
      </c>
      <c r="K15" s="686" t="n">
        <v>8909.144475920681</v>
      </c>
      <c r="L15" s="686" t="n">
        <v>6900.686685552408</v>
      </c>
      <c r="M15" s="686" t="n">
        <v>5345.486685552409</v>
      </c>
      <c r="N15" s="686" t="n">
        <v>4179.086685552408</v>
      </c>
      <c r="O15" s="686" t="n">
        <v>2786.057790368272</v>
      </c>
      <c r="P15" s="686" t="n">
        <v>2786.057790368272</v>
      </c>
      <c r="Q15" s="687">
        <f>N15</f>
        <v/>
      </c>
      <c r="R15" s="686" t="n">
        <v>2130</v>
      </c>
      <c r="S15" s="686" t="n">
        <v>963.6</v>
      </c>
    </row>
    <row r="16">
      <c r="A16" s="467" t="inlineStr">
        <is>
          <t>South Korea</t>
        </is>
      </c>
      <c r="B16" s="686" t="n">
        <v>6127.06447592068</v>
      </c>
      <c r="C16" s="686" t="n">
        <v>4675.022685552409</v>
      </c>
      <c r="D16" s="686" t="n">
        <v>3676.238685552408</v>
      </c>
      <c r="E16" s="686" t="n">
        <v>2927.150685552408</v>
      </c>
      <c r="F16" s="686" t="n">
        <v>1951.433790368272</v>
      </c>
      <c r="G16" s="686" t="n">
        <v>1951.433790368272</v>
      </c>
      <c r="H16" s="687">
        <f>E16</f>
        <v/>
      </c>
      <c r="I16" s="686" t="n">
        <v>1386</v>
      </c>
      <c r="J16" s="686" t="n">
        <v>666</v>
      </c>
      <c r="K16" s="686" t="n">
        <v>7613.14447592068</v>
      </c>
      <c r="L16" s="686" t="n">
        <v>5863.886685552408</v>
      </c>
      <c r="M16" s="686" t="n">
        <v>4567.886685552408</v>
      </c>
      <c r="N16" s="686" t="n">
        <v>3595.886685552408</v>
      </c>
      <c r="O16" s="686" t="n">
        <v>2397.257790368272</v>
      </c>
      <c r="P16" s="686" t="n">
        <v>2397.257790368272</v>
      </c>
      <c r="Q16" s="687">
        <f>N16</f>
        <v/>
      </c>
      <c r="R16" s="686" t="n">
        <v>1806</v>
      </c>
      <c r="S16" s="686" t="n">
        <v>834</v>
      </c>
    </row>
    <row r="17">
      <c r="A17" s="467" t="inlineStr">
        <is>
          <t>Taiwan</t>
        </is>
      </c>
      <c r="B17" s="686" t="n">
        <v>5377.97647592068</v>
      </c>
      <c r="C17" s="686" t="n">
        <v>4075.752285552408</v>
      </c>
      <c r="D17" s="686" t="n">
        <v>3226.785885552408</v>
      </c>
      <c r="E17" s="686" t="n">
        <v>2590.061085552408</v>
      </c>
      <c r="F17" s="686" t="n">
        <v>1726.707390368272</v>
      </c>
      <c r="G17" s="686" t="n">
        <v>1726.707390368272</v>
      </c>
      <c r="H17" s="687">
        <f>E17</f>
        <v/>
      </c>
      <c r="I17" s="686" t="n">
        <v>1206</v>
      </c>
      <c r="J17" s="686" t="n">
        <v>594</v>
      </c>
      <c r="K17" s="686" t="n">
        <v>6641.144475920681</v>
      </c>
      <c r="L17" s="686" t="n">
        <v>5086.286685552408</v>
      </c>
      <c r="M17" s="686" t="n">
        <v>3984.686685552408</v>
      </c>
      <c r="N17" s="686" t="n">
        <v>3158.486685552408</v>
      </c>
      <c r="O17" s="686" t="n">
        <v>2105.657790368272</v>
      </c>
      <c r="P17" s="686" t="n">
        <v>2105.657790368272</v>
      </c>
      <c r="Q17" s="687">
        <f>N17</f>
        <v/>
      </c>
      <c r="R17" s="686" t="n">
        <v>1563</v>
      </c>
      <c r="S17" s="686" t="n">
        <v>736.8000000000001</v>
      </c>
    </row>
    <row r="18">
      <c r="A18" s="467" t="inlineStr">
        <is>
          <t>Thailand</t>
        </is>
      </c>
      <c r="B18" s="686" t="n">
        <v>5128.28047592068</v>
      </c>
      <c r="C18" s="686" t="n">
        <v>3875.995485552408</v>
      </c>
      <c r="D18" s="686" t="n">
        <v>3076.968285552408</v>
      </c>
      <c r="E18" s="686" t="n">
        <v>2477.697885552408</v>
      </c>
      <c r="F18" s="686" t="n">
        <v>1651.798590368272</v>
      </c>
      <c r="G18" s="686" t="n">
        <v>1651.798590368272</v>
      </c>
      <c r="H18" s="687">
        <f>E18</f>
        <v/>
      </c>
      <c r="I18" s="686" t="n">
        <v>1146</v>
      </c>
      <c r="J18" s="686" t="n">
        <v>570</v>
      </c>
      <c r="K18" s="686" t="n">
        <v>6317.144475920681</v>
      </c>
      <c r="L18" s="686" t="n">
        <v>4827.086685552409</v>
      </c>
      <c r="M18" s="686" t="n">
        <v>3790.286685552408</v>
      </c>
      <c r="N18" s="686" t="n">
        <v>3012.686685552408</v>
      </c>
      <c r="O18" s="686" t="n">
        <v>2008.457790368272</v>
      </c>
      <c r="P18" s="686" t="n">
        <v>2008.457790368272</v>
      </c>
      <c r="Q18" s="687">
        <f>N18</f>
        <v/>
      </c>
      <c r="R18" s="686" t="n">
        <v>1482</v>
      </c>
      <c r="S18" s="686" t="n">
        <v>704.4000000000001</v>
      </c>
    </row>
    <row r="19">
      <c r="A19" s="467" t="inlineStr">
        <is>
          <t>Vietnam</t>
        </is>
      </c>
      <c r="B19" s="686" t="n">
        <v>4628.88847592068</v>
      </c>
      <c r="C19" s="686" t="n">
        <v>3476.481885552408</v>
      </c>
      <c r="D19" s="686" t="n">
        <v>2777.333085552408</v>
      </c>
      <c r="E19" s="686" t="n">
        <v>2252.971485552408</v>
      </c>
      <c r="F19" s="686" t="n">
        <v>1501.980990368272</v>
      </c>
      <c r="G19" s="686" t="n">
        <v>1501.980990368272</v>
      </c>
      <c r="H19" s="687">
        <f>E19</f>
        <v/>
      </c>
      <c r="I19" s="686" t="n">
        <v>1026</v>
      </c>
      <c r="J19" s="686" t="n">
        <v>522</v>
      </c>
      <c r="K19" s="686" t="n">
        <v>5669.14447592068</v>
      </c>
      <c r="L19" s="686" t="n">
        <v>4308.686685552408</v>
      </c>
      <c r="M19" s="686" t="n">
        <v>3401.486685552408</v>
      </c>
      <c r="N19" s="686" t="n">
        <v>2721.086685552408</v>
      </c>
      <c r="O19" s="686" t="n">
        <v>1814.057790368272</v>
      </c>
      <c r="P19" s="686" t="n">
        <v>1814.057790368272</v>
      </c>
      <c r="Q19" s="687">
        <f>N19</f>
        <v/>
      </c>
      <c r="R19" s="686" t="n">
        <v>1320</v>
      </c>
      <c r="S19" s="686" t="n">
        <v>639.6</v>
      </c>
    </row>
    <row r="20">
      <c r="A20" s="467" t="inlineStr">
        <is>
          <t>Armenia</t>
        </is>
      </c>
      <c r="B20" s="686" t="n">
        <v>5128.28047592068</v>
      </c>
      <c r="C20" s="686" t="n">
        <v>3875.995485552408</v>
      </c>
      <c r="D20" s="686" t="n">
        <v>3076.968285552408</v>
      </c>
      <c r="E20" s="686" t="n">
        <v>2477.697885552408</v>
      </c>
      <c r="F20" s="686" t="n">
        <v>1651.798590368272</v>
      </c>
      <c r="G20" s="686" t="n">
        <v>1651.798590368272</v>
      </c>
      <c r="H20" s="687">
        <f>E20</f>
        <v/>
      </c>
      <c r="I20" s="686" t="n">
        <v>1146</v>
      </c>
      <c r="J20" s="686" t="n">
        <v>570</v>
      </c>
      <c r="K20" s="686" t="n">
        <v>6317.144475920681</v>
      </c>
      <c r="L20" s="686" t="n">
        <v>4827.086685552409</v>
      </c>
      <c r="M20" s="686" t="n">
        <v>3790.286685552408</v>
      </c>
      <c r="N20" s="686" t="n">
        <v>3012.686685552408</v>
      </c>
      <c r="O20" s="686" t="n">
        <v>2008.457790368272</v>
      </c>
      <c r="P20" s="686" t="n">
        <v>2008.457790368272</v>
      </c>
      <c r="Q20" s="687">
        <f>N20</f>
        <v/>
      </c>
      <c r="R20" s="686" t="n">
        <v>1482</v>
      </c>
      <c r="S20" s="686" t="n">
        <v>704.4000000000001</v>
      </c>
    </row>
    <row r="21">
      <c r="A21" s="467" t="inlineStr">
        <is>
          <t>Belgium</t>
        </is>
      </c>
      <c r="B21" s="686" t="n">
        <v>6127.06447592068</v>
      </c>
      <c r="C21" s="686" t="n">
        <v>4675.022685552409</v>
      </c>
      <c r="D21" s="686" t="n">
        <v>3676.238685552408</v>
      </c>
      <c r="E21" s="686" t="n">
        <v>2927.150685552408</v>
      </c>
      <c r="F21" s="686" t="n">
        <v>1951.433790368272</v>
      </c>
      <c r="G21" s="686" t="n">
        <v>1951.433790368272</v>
      </c>
      <c r="H21" s="687">
        <f>E21</f>
        <v/>
      </c>
      <c r="I21" s="686" t="n">
        <v>1386</v>
      </c>
      <c r="J21" s="686" t="n">
        <v>666</v>
      </c>
      <c r="K21" s="686" t="n">
        <v>7613.14447592068</v>
      </c>
      <c r="L21" s="686" t="n">
        <v>5863.886685552408</v>
      </c>
      <c r="M21" s="686" t="n">
        <v>4567.886685552408</v>
      </c>
      <c r="N21" s="686" t="n">
        <v>3595.886685552408</v>
      </c>
      <c r="O21" s="686" t="n">
        <v>2397.257790368272</v>
      </c>
      <c r="P21" s="686" t="n">
        <v>2397.257790368272</v>
      </c>
      <c r="Q21" s="687">
        <f>N21</f>
        <v/>
      </c>
      <c r="R21" s="686" t="n">
        <v>1806</v>
      </c>
      <c r="S21" s="686" t="n">
        <v>834</v>
      </c>
    </row>
    <row r="22">
      <c r="A22" s="467" t="inlineStr">
        <is>
          <t>Bulgaria</t>
        </is>
      </c>
      <c r="B22" s="686" t="n">
        <v>5128.28047592068</v>
      </c>
      <c r="C22" s="686" t="n">
        <v>3875.995485552408</v>
      </c>
      <c r="D22" s="686" t="n">
        <v>3076.968285552408</v>
      </c>
      <c r="E22" s="686" t="n">
        <v>2477.697885552408</v>
      </c>
      <c r="F22" s="686" t="n">
        <v>1651.798590368272</v>
      </c>
      <c r="G22" s="686" t="n">
        <v>1651.798590368272</v>
      </c>
      <c r="H22" s="687">
        <f>E22</f>
        <v/>
      </c>
      <c r="I22" s="686" t="n">
        <v>1146</v>
      </c>
      <c r="J22" s="686" t="n">
        <v>570</v>
      </c>
      <c r="K22" s="686" t="n">
        <v>6317.144475920681</v>
      </c>
      <c r="L22" s="686" t="n">
        <v>4827.086685552409</v>
      </c>
      <c r="M22" s="686" t="n">
        <v>3790.286685552408</v>
      </c>
      <c r="N22" s="686" t="n">
        <v>3012.686685552408</v>
      </c>
      <c r="O22" s="686" t="n">
        <v>2008.457790368272</v>
      </c>
      <c r="P22" s="686" t="n">
        <v>2008.457790368272</v>
      </c>
      <c r="Q22" s="687">
        <f>N22</f>
        <v/>
      </c>
      <c r="R22" s="686" t="n">
        <v>1482</v>
      </c>
      <c r="S22" s="686" t="n">
        <v>704.4000000000001</v>
      </c>
    </row>
    <row r="23">
      <c r="A23" s="467" t="inlineStr">
        <is>
          <t>Czech Republic</t>
        </is>
      </c>
      <c r="B23" s="686" t="n">
        <v>5377.97647592068</v>
      </c>
      <c r="C23" s="686" t="n">
        <v>4075.752285552408</v>
      </c>
      <c r="D23" s="686" t="n">
        <v>3226.785885552408</v>
      </c>
      <c r="E23" s="686" t="n">
        <v>2590.061085552408</v>
      </c>
      <c r="F23" s="686" t="n">
        <v>1726.707390368272</v>
      </c>
      <c r="G23" s="686" t="n">
        <v>1726.707390368272</v>
      </c>
      <c r="H23" s="687">
        <f>E23</f>
        <v/>
      </c>
      <c r="I23" s="686" t="n">
        <v>1206</v>
      </c>
      <c r="J23" s="686" t="n">
        <v>594</v>
      </c>
      <c r="K23" s="686" t="n">
        <v>6641.144475920681</v>
      </c>
      <c r="L23" s="686" t="n">
        <v>5086.286685552408</v>
      </c>
      <c r="M23" s="686" t="n">
        <v>3984.686685552408</v>
      </c>
      <c r="N23" s="686" t="n">
        <v>3158.486685552408</v>
      </c>
      <c r="O23" s="686" t="n">
        <v>2105.657790368272</v>
      </c>
      <c r="P23" s="686" t="n">
        <v>2105.657790368272</v>
      </c>
      <c r="Q23" s="687">
        <f>N23</f>
        <v/>
      </c>
      <c r="R23" s="686" t="n">
        <v>1563</v>
      </c>
      <c r="S23" s="686" t="n">
        <v>736.8000000000001</v>
      </c>
    </row>
    <row r="24">
      <c r="A24" s="467" t="inlineStr">
        <is>
          <t>Finland</t>
        </is>
      </c>
      <c r="B24" s="686" t="n">
        <v>8124.63247592068</v>
      </c>
      <c r="C24" s="686" t="n">
        <v>6273.077085552408</v>
      </c>
      <c r="D24" s="686" t="n">
        <v>4874.779485552408</v>
      </c>
      <c r="E24" s="686" t="n">
        <v>3826.056285552408</v>
      </c>
      <c r="F24" s="686" t="n">
        <v>2550.704190368272</v>
      </c>
      <c r="G24" s="686" t="n">
        <v>2550.704190368272</v>
      </c>
      <c r="H24" s="687">
        <f>E24</f>
        <v/>
      </c>
      <c r="I24" s="686" t="n">
        <v>1866</v>
      </c>
      <c r="J24" s="686" t="n">
        <v>858</v>
      </c>
      <c r="K24" s="686" t="n">
        <v>10205.14447592068</v>
      </c>
      <c r="L24" s="686" t="n">
        <v>7937.486685552409</v>
      </c>
      <c r="M24" s="686" t="n">
        <v>6123.086685552409</v>
      </c>
      <c r="N24" s="686" t="n">
        <v>4762.286685552408</v>
      </c>
      <c r="O24" s="686" t="n">
        <v>3174.857790368272</v>
      </c>
      <c r="P24" s="686" t="n">
        <v>3174.857790368272</v>
      </c>
      <c r="Q24" s="687">
        <f>N24</f>
        <v/>
      </c>
      <c r="R24" s="686" t="n">
        <v>2454</v>
      </c>
      <c r="S24" s="686" t="n">
        <v>1093.2</v>
      </c>
    </row>
    <row r="25">
      <c r="A25" s="467" t="inlineStr">
        <is>
          <t>France</t>
        </is>
      </c>
      <c r="B25" s="686" t="n">
        <v>7375.544475920679</v>
      </c>
      <c r="C25" s="686" t="n">
        <v>5673.806685552408</v>
      </c>
      <c r="D25" s="686" t="n">
        <v>4425.326685552408</v>
      </c>
      <c r="E25" s="686" t="n">
        <v>3488.966685552408</v>
      </c>
      <c r="F25" s="686" t="n">
        <v>2325.977790368272</v>
      </c>
      <c r="G25" s="686" t="n">
        <v>2325.977790368272</v>
      </c>
      <c r="H25" s="687">
        <f>E25</f>
        <v/>
      </c>
      <c r="I25" s="686" t="n">
        <v>1686</v>
      </c>
      <c r="J25" s="686" t="n">
        <v>786</v>
      </c>
      <c r="K25" s="686" t="n">
        <v>9233.144475920681</v>
      </c>
      <c r="L25" s="686" t="n">
        <v>7159.886685552408</v>
      </c>
      <c r="M25" s="686" t="n">
        <v>5539.886685552408</v>
      </c>
      <c r="N25" s="686" t="n">
        <v>4324.886685552408</v>
      </c>
      <c r="O25" s="686" t="n">
        <v>2883.257790368272</v>
      </c>
      <c r="P25" s="686" t="n">
        <v>2883.257790368272</v>
      </c>
      <c r="Q25" s="687">
        <f>N25</f>
        <v/>
      </c>
      <c r="R25" s="686" t="n">
        <v>2211</v>
      </c>
      <c r="S25" s="686" t="n">
        <v>996</v>
      </c>
    </row>
    <row r="26">
      <c r="A26" s="467" t="inlineStr">
        <is>
          <t>Germany</t>
        </is>
      </c>
      <c r="B26" s="686" t="n">
        <v>6626.456475920681</v>
      </c>
      <c r="C26" s="686" t="n">
        <v>5074.536285552409</v>
      </c>
      <c r="D26" s="686" t="n">
        <v>3975.873885552408</v>
      </c>
      <c r="E26" s="686" t="n">
        <v>3151.877085552409</v>
      </c>
      <c r="F26" s="686" t="n">
        <v>2101.251390368272</v>
      </c>
      <c r="G26" s="686" t="n">
        <v>2101.251390368272</v>
      </c>
      <c r="H26" s="687">
        <f>E26</f>
        <v/>
      </c>
      <c r="I26" s="686" t="n">
        <v>1506</v>
      </c>
      <c r="J26" s="686" t="n">
        <v>714</v>
      </c>
      <c r="K26" s="686" t="n">
        <v>8261.144475920681</v>
      </c>
      <c r="L26" s="686" t="n">
        <v>6382.286685552408</v>
      </c>
      <c r="M26" s="686" t="n">
        <v>4956.686685552408</v>
      </c>
      <c r="N26" s="686" t="n">
        <v>3887.486685552408</v>
      </c>
      <c r="O26" s="686" t="n">
        <v>2591.657790368272</v>
      </c>
      <c r="P26" s="686" t="n">
        <v>2591.657790368272</v>
      </c>
      <c r="Q26" s="687">
        <f>N26</f>
        <v/>
      </c>
      <c r="R26" s="686" t="n">
        <v>1968</v>
      </c>
      <c r="S26" s="686" t="n">
        <v>898.8000000000001</v>
      </c>
    </row>
    <row r="27">
      <c r="A27" s="467" t="inlineStr">
        <is>
          <t>Greece</t>
        </is>
      </c>
      <c r="B27" s="686" t="n">
        <v>5128.28047592068</v>
      </c>
      <c r="C27" s="686" t="n">
        <v>3875.995485552408</v>
      </c>
      <c r="D27" s="686" t="n">
        <v>3076.968285552408</v>
      </c>
      <c r="E27" s="686" t="n">
        <v>2477.697885552408</v>
      </c>
      <c r="F27" s="686" t="n">
        <v>1651.798590368272</v>
      </c>
      <c r="G27" s="686" t="n">
        <v>1651.798590368272</v>
      </c>
      <c r="H27" s="687">
        <f>E27</f>
        <v/>
      </c>
      <c r="I27" s="686" t="n">
        <v>1146</v>
      </c>
      <c r="J27" s="686" t="n">
        <v>570</v>
      </c>
      <c r="K27" s="686" t="n">
        <v>6317.144475920681</v>
      </c>
      <c r="L27" s="686" t="n">
        <v>4827.086685552409</v>
      </c>
      <c r="M27" s="686" t="n">
        <v>3790.286685552408</v>
      </c>
      <c r="N27" s="686" t="n">
        <v>3012.686685552408</v>
      </c>
      <c r="O27" s="686" t="n">
        <v>2008.457790368272</v>
      </c>
      <c r="P27" s="686" t="n">
        <v>2008.457790368272</v>
      </c>
      <c r="Q27" s="687">
        <f>N27</f>
        <v/>
      </c>
      <c r="R27" s="686" t="n">
        <v>1482</v>
      </c>
      <c r="S27" s="686" t="n">
        <v>704.4000000000001</v>
      </c>
    </row>
    <row r="28">
      <c r="A28" s="467" t="inlineStr">
        <is>
          <t>Israel</t>
        </is>
      </c>
      <c r="B28" s="686" t="n">
        <v>7375.544475920679</v>
      </c>
      <c r="C28" s="686" t="n">
        <v>5673.806685552408</v>
      </c>
      <c r="D28" s="686" t="n">
        <v>4425.326685552408</v>
      </c>
      <c r="E28" s="686" t="n">
        <v>3488.966685552408</v>
      </c>
      <c r="F28" s="686" t="n">
        <v>2325.977790368272</v>
      </c>
      <c r="G28" s="686" t="n">
        <v>2325.977790368272</v>
      </c>
      <c r="H28" s="687">
        <f>E28</f>
        <v/>
      </c>
      <c r="I28" s="686" t="n">
        <v>1686</v>
      </c>
      <c r="J28" s="686" t="n">
        <v>786</v>
      </c>
      <c r="K28" s="686" t="n">
        <v>9233.144475920681</v>
      </c>
      <c r="L28" s="686" t="n">
        <v>7159.886685552408</v>
      </c>
      <c r="M28" s="686" t="n">
        <v>5539.886685552408</v>
      </c>
      <c r="N28" s="686" t="n">
        <v>4324.886685552408</v>
      </c>
      <c r="O28" s="686" t="n">
        <v>2883.257790368272</v>
      </c>
      <c r="P28" s="686" t="n">
        <v>2883.257790368272</v>
      </c>
      <c r="Q28" s="687">
        <f>N28</f>
        <v/>
      </c>
      <c r="R28" s="686" t="n">
        <v>2211</v>
      </c>
      <c r="S28" s="686" t="n">
        <v>996</v>
      </c>
    </row>
    <row r="29">
      <c r="A29" s="467" t="inlineStr">
        <is>
          <t>Italy</t>
        </is>
      </c>
      <c r="B29" s="686" t="n">
        <v>6626.456475920681</v>
      </c>
      <c r="C29" s="686" t="n">
        <v>5074.536285552409</v>
      </c>
      <c r="D29" s="686" t="n">
        <v>3975.873885552408</v>
      </c>
      <c r="E29" s="686" t="n">
        <v>3151.877085552409</v>
      </c>
      <c r="F29" s="686" t="n">
        <v>2101.251390368272</v>
      </c>
      <c r="G29" s="686" t="n">
        <v>2101.251390368272</v>
      </c>
      <c r="H29" s="687">
        <f>E29</f>
        <v/>
      </c>
      <c r="I29" s="686" t="n">
        <v>1506</v>
      </c>
      <c r="J29" s="686" t="n">
        <v>714</v>
      </c>
      <c r="K29" s="686" t="n">
        <v>8261.144475920681</v>
      </c>
      <c r="L29" s="686" t="n">
        <v>6382.286685552408</v>
      </c>
      <c r="M29" s="686" t="n">
        <v>4956.686685552408</v>
      </c>
      <c r="N29" s="686" t="n">
        <v>3887.486685552408</v>
      </c>
      <c r="O29" s="686" t="n">
        <v>2591.657790368272</v>
      </c>
      <c r="P29" s="686" t="n">
        <v>2591.657790368272</v>
      </c>
      <c r="Q29" s="687">
        <f>N29</f>
        <v/>
      </c>
      <c r="R29" s="686" t="n">
        <v>1968</v>
      </c>
      <c r="S29" s="686" t="n">
        <v>898.8000000000001</v>
      </c>
    </row>
    <row r="30">
      <c r="A30" s="467" t="inlineStr">
        <is>
          <t>Kazakhstan</t>
        </is>
      </c>
      <c r="B30" s="686" t="n">
        <v>4628.88847592068</v>
      </c>
      <c r="C30" s="686" t="n">
        <v>3476.481885552408</v>
      </c>
      <c r="D30" s="686" t="n">
        <v>2777.333085552408</v>
      </c>
      <c r="E30" s="686" t="n">
        <v>2252.971485552408</v>
      </c>
      <c r="F30" s="686" t="n">
        <v>1501.980990368272</v>
      </c>
      <c r="G30" s="686" t="n">
        <v>1501.980990368272</v>
      </c>
      <c r="H30" s="687">
        <f>E30</f>
        <v/>
      </c>
      <c r="I30" s="686" t="n">
        <v>1026</v>
      </c>
      <c r="J30" s="686" t="n">
        <v>522</v>
      </c>
      <c r="K30" s="686" t="n">
        <v>5669.14447592068</v>
      </c>
      <c r="L30" s="686" t="n">
        <v>4308.686685552408</v>
      </c>
      <c r="M30" s="686" t="n">
        <v>3401.486685552408</v>
      </c>
      <c r="N30" s="686" t="n">
        <v>2721.086685552408</v>
      </c>
      <c r="O30" s="686" t="n">
        <v>1814.057790368272</v>
      </c>
      <c r="P30" s="686" t="n">
        <v>1814.057790368272</v>
      </c>
      <c r="Q30" s="687">
        <f>N30</f>
        <v/>
      </c>
      <c r="R30" s="686" t="n">
        <v>1320</v>
      </c>
      <c r="S30" s="686" t="n">
        <v>639.6</v>
      </c>
    </row>
    <row r="31">
      <c r="A31" s="467" t="inlineStr">
        <is>
          <t>Luxembourg</t>
        </is>
      </c>
      <c r="B31" s="686" t="n">
        <v>6127.06447592068</v>
      </c>
      <c r="C31" s="686" t="n">
        <v>4675.022685552409</v>
      </c>
      <c r="D31" s="686" t="n">
        <v>3676.238685552408</v>
      </c>
      <c r="E31" s="686" t="n">
        <v>2927.150685552408</v>
      </c>
      <c r="F31" s="686" t="n">
        <v>1951.433790368272</v>
      </c>
      <c r="G31" s="686" t="n">
        <v>1951.433790368272</v>
      </c>
      <c r="H31" s="687">
        <f>E31</f>
        <v/>
      </c>
      <c r="I31" s="686" t="n">
        <v>1386</v>
      </c>
      <c r="J31" s="686" t="n">
        <v>666</v>
      </c>
      <c r="K31" s="686" t="n">
        <v>7613.14447592068</v>
      </c>
      <c r="L31" s="686" t="n">
        <v>5863.886685552408</v>
      </c>
      <c r="M31" s="686" t="n">
        <v>4567.886685552408</v>
      </c>
      <c r="N31" s="686" t="n">
        <v>3595.886685552408</v>
      </c>
      <c r="O31" s="686" t="n">
        <v>2397.257790368272</v>
      </c>
      <c r="P31" s="686" t="n">
        <v>2397.257790368272</v>
      </c>
      <c r="Q31" s="687">
        <f>N31</f>
        <v/>
      </c>
      <c r="R31" s="686" t="n">
        <v>1806</v>
      </c>
      <c r="S31" s="686" t="n">
        <v>834</v>
      </c>
    </row>
    <row r="32">
      <c r="A32" s="467" t="inlineStr">
        <is>
          <t>Morocco</t>
        </is>
      </c>
      <c r="B32" s="686" t="n">
        <v>5627.672475920679</v>
      </c>
      <c r="C32" s="686" t="n">
        <v>4275.509085552408</v>
      </c>
      <c r="D32" s="686" t="n">
        <v>3376.603485552408</v>
      </c>
      <c r="E32" s="686" t="n">
        <v>2702.424285552408</v>
      </c>
      <c r="F32" s="686" t="n">
        <v>1801.616190368272</v>
      </c>
      <c r="G32" s="686" t="n">
        <v>1801.616190368272</v>
      </c>
      <c r="H32" s="687">
        <f>E32</f>
        <v/>
      </c>
      <c r="I32" s="686" t="n">
        <v>1266</v>
      </c>
      <c r="J32" s="686" t="n">
        <v>618</v>
      </c>
      <c r="K32" s="686" t="n">
        <v>6965.14447592068</v>
      </c>
      <c r="L32" s="686" t="n">
        <v>5345.486685552409</v>
      </c>
      <c r="M32" s="686" t="n">
        <v>4179.086685552408</v>
      </c>
      <c r="N32" s="686" t="n">
        <v>3304.286685552408</v>
      </c>
      <c r="O32" s="686" t="n">
        <v>2202.857790368272</v>
      </c>
      <c r="P32" s="686" t="n">
        <v>2202.857790368272</v>
      </c>
      <c r="Q32" s="687">
        <f>N32</f>
        <v/>
      </c>
      <c r="R32" s="686" t="n">
        <v>1644</v>
      </c>
      <c r="S32" s="686" t="n">
        <v>769.2</v>
      </c>
    </row>
    <row r="33">
      <c r="A33" s="467" t="inlineStr">
        <is>
          <t>Norway</t>
        </is>
      </c>
      <c r="B33" s="686" t="n">
        <v>7375.544475920679</v>
      </c>
      <c r="C33" s="686" t="n">
        <v>5673.806685552408</v>
      </c>
      <c r="D33" s="686" t="n">
        <v>4425.326685552408</v>
      </c>
      <c r="E33" s="686" t="n">
        <v>3488.966685552408</v>
      </c>
      <c r="F33" s="686" t="n">
        <v>2325.977790368272</v>
      </c>
      <c r="G33" s="686" t="n">
        <v>2325.977790368272</v>
      </c>
      <c r="H33" s="687">
        <f>E33</f>
        <v/>
      </c>
      <c r="I33" s="686" t="n">
        <v>1686</v>
      </c>
      <c r="J33" s="686" t="n">
        <v>786</v>
      </c>
      <c r="K33" s="686" t="n">
        <v>9233.144475920681</v>
      </c>
      <c r="L33" s="686" t="n">
        <v>7159.886685552408</v>
      </c>
      <c r="M33" s="686" t="n">
        <v>5539.886685552408</v>
      </c>
      <c r="N33" s="686" t="n">
        <v>4324.886685552408</v>
      </c>
      <c r="O33" s="686" t="n">
        <v>2883.257790368272</v>
      </c>
      <c r="P33" s="686" t="n">
        <v>2883.257790368272</v>
      </c>
      <c r="Q33" s="687">
        <f>N33</f>
        <v/>
      </c>
      <c r="R33" s="686" t="n">
        <v>2211</v>
      </c>
      <c r="S33" s="686" t="n">
        <v>996</v>
      </c>
    </row>
    <row r="34">
      <c r="A34" s="467" t="inlineStr">
        <is>
          <t>Poland</t>
        </is>
      </c>
      <c r="B34" s="686" t="n">
        <v>5627.672475920679</v>
      </c>
      <c r="C34" s="686" t="n">
        <v>4275.509085552408</v>
      </c>
      <c r="D34" s="686" t="n">
        <v>3376.603485552408</v>
      </c>
      <c r="E34" s="686" t="n">
        <v>2702.424285552408</v>
      </c>
      <c r="F34" s="686" t="n">
        <v>1801.616190368272</v>
      </c>
      <c r="G34" s="686" t="n">
        <v>1801.616190368272</v>
      </c>
      <c r="H34" s="687">
        <f>E34</f>
        <v/>
      </c>
      <c r="I34" s="686" t="n">
        <v>1266</v>
      </c>
      <c r="J34" s="686" t="n">
        <v>618</v>
      </c>
      <c r="K34" s="686" t="n">
        <v>6965.14447592068</v>
      </c>
      <c r="L34" s="686" t="n">
        <v>5345.486685552409</v>
      </c>
      <c r="M34" s="686" t="n">
        <v>4179.086685552408</v>
      </c>
      <c r="N34" s="686" t="n">
        <v>3304.286685552408</v>
      </c>
      <c r="O34" s="686" t="n">
        <v>2202.857790368272</v>
      </c>
      <c r="P34" s="686" t="n">
        <v>2202.857790368272</v>
      </c>
      <c r="Q34" s="687">
        <f>N34</f>
        <v/>
      </c>
      <c r="R34" s="686" t="n">
        <v>1644</v>
      </c>
      <c r="S34" s="686" t="n">
        <v>769.2</v>
      </c>
    </row>
    <row r="35">
      <c r="A35" s="467" t="inlineStr">
        <is>
          <t>Qatar</t>
        </is>
      </c>
      <c r="B35" s="686" t="n">
        <v>7375.544475920679</v>
      </c>
      <c r="C35" s="686" t="n">
        <v>5673.806685552408</v>
      </c>
      <c r="D35" s="686" t="n">
        <v>4425.326685552408</v>
      </c>
      <c r="E35" s="686" t="n">
        <v>3488.966685552408</v>
      </c>
      <c r="F35" s="686" t="n">
        <v>2325.977790368272</v>
      </c>
      <c r="G35" s="686" t="n">
        <v>2325.977790368272</v>
      </c>
      <c r="H35" s="687">
        <f>E35</f>
        <v/>
      </c>
      <c r="I35" s="686" t="n">
        <v>1686</v>
      </c>
      <c r="J35" s="686" t="n">
        <v>786</v>
      </c>
      <c r="K35" s="686" t="n">
        <v>9233.144475920681</v>
      </c>
      <c r="L35" s="686" t="n">
        <v>7159.886685552408</v>
      </c>
      <c r="M35" s="686" t="n">
        <v>5539.886685552408</v>
      </c>
      <c r="N35" s="686" t="n">
        <v>4324.886685552408</v>
      </c>
      <c r="O35" s="686" t="n">
        <v>2883.257790368272</v>
      </c>
      <c r="P35" s="686" t="n">
        <v>2883.257790368272</v>
      </c>
      <c r="Q35" s="687">
        <f>N35</f>
        <v/>
      </c>
      <c r="R35" s="686" t="n">
        <v>2211</v>
      </c>
      <c r="S35" s="686" t="n">
        <v>996</v>
      </c>
    </row>
    <row r="36">
      <c r="A36" s="467" t="inlineStr">
        <is>
          <t>Romania</t>
        </is>
      </c>
      <c r="B36" s="686" t="n">
        <v>4628.88847592068</v>
      </c>
      <c r="C36" s="686" t="n">
        <v>3476.481885552408</v>
      </c>
      <c r="D36" s="686" t="n">
        <v>2777.333085552408</v>
      </c>
      <c r="E36" s="686" t="n">
        <v>2252.971485552408</v>
      </c>
      <c r="F36" s="686" t="n">
        <v>1501.980990368272</v>
      </c>
      <c r="G36" s="686" t="n">
        <v>1501.980990368272</v>
      </c>
      <c r="H36" s="687">
        <f>E36</f>
        <v/>
      </c>
      <c r="I36" s="686" t="n">
        <v>1026</v>
      </c>
      <c r="J36" s="686" t="n">
        <v>522</v>
      </c>
      <c r="K36" s="686" t="n">
        <v>5669.14447592068</v>
      </c>
      <c r="L36" s="686" t="n">
        <v>4308.686685552408</v>
      </c>
      <c r="M36" s="686" t="n">
        <v>3401.486685552408</v>
      </c>
      <c r="N36" s="686" t="n">
        <v>2721.086685552408</v>
      </c>
      <c r="O36" s="686" t="n">
        <v>1814.057790368272</v>
      </c>
      <c r="P36" s="686" t="n">
        <v>1814.057790368272</v>
      </c>
      <c r="Q36" s="687">
        <f>N36</f>
        <v/>
      </c>
      <c r="R36" s="686" t="n">
        <v>1320</v>
      </c>
      <c r="S36" s="686" t="n">
        <v>639.6</v>
      </c>
    </row>
    <row r="37">
      <c r="A37" s="467" t="inlineStr">
        <is>
          <t>Saudi Arabia</t>
        </is>
      </c>
      <c r="B37" s="686" t="n">
        <v>5627.672475920679</v>
      </c>
      <c r="C37" s="686" t="n">
        <v>4275.509085552408</v>
      </c>
      <c r="D37" s="686" t="n">
        <v>3376.603485552408</v>
      </c>
      <c r="E37" s="686" t="n">
        <v>2702.424285552408</v>
      </c>
      <c r="F37" s="686" t="n">
        <v>1801.616190368272</v>
      </c>
      <c r="G37" s="686" t="n">
        <v>1801.616190368272</v>
      </c>
      <c r="H37" s="687">
        <f>E37</f>
        <v/>
      </c>
      <c r="I37" s="686" t="n">
        <v>1266</v>
      </c>
      <c r="J37" s="686" t="n">
        <v>618</v>
      </c>
      <c r="K37" s="686" t="n">
        <v>6965.14447592068</v>
      </c>
      <c r="L37" s="686" t="n">
        <v>5345.486685552409</v>
      </c>
      <c r="M37" s="686" t="n">
        <v>4179.086685552408</v>
      </c>
      <c r="N37" s="686" t="n">
        <v>3304.286685552408</v>
      </c>
      <c r="O37" s="686" t="n">
        <v>2202.857790368272</v>
      </c>
      <c r="P37" s="686" t="n">
        <v>2202.857790368272</v>
      </c>
      <c r="Q37" s="687">
        <f>N37</f>
        <v/>
      </c>
      <c r="R37" s="686" t="n">
        <v>1644</v>
      </c>
      <c r="S37" s="686" t="n">
        <v>769.2</v>
      </c>
    </row>
    <row r="38">
      <c r="A38" s="467" t="inlineStr">
        <is>
          <t>South Africa</t>
        </is>
      </c>
      <c r="B38" s="686" t="n">
        <v>5128.28047592068</v>
      </c>
      <c r="C38" s="686" t="n">
        <v>3875.995485552408</v>
      </c>
      <c r="D38" s="686" t="n">
        <v>3076.968285552408</v>
      </c>
      <c r="E38" s="686" t="n">
        <v>2477.697885552408</v>
      </c>
      <c r="F38" s="686" t="n">
        <v>1651.798590368272</v>
      </c>
      <c r="G38" s="686" t="n">
        <v>1651.798590368272</v>
      </c>
      <c r="H38" s="687">
        <f>E38</f>
        <v/>
      </c>
      <c r="I38" s="686" t="n">
        <v>1146</v>
      </c>
      <c r="J38" s="686" t="n">
        <v>570</v>
      </c>
      <c r="K38" s="686" t="n">
        <v>6317.144475920681</v>
      </c>
      <c r="L38" s="686" t="n">
        <v>4827.086685552409</v>
      </c>
      <c r="M38" s="686" t="n">
        <v>3790.286685552408</v>
      </c>
      <c r="N38" s="686" t="n">
        <v>3012.686685552408</v>
      </c>
      <c r="O38" s="686" t="n">
        <v>2008.457790368272</v>
      </c>
      <c r="P38" s="686" t="n">
        <v>2008.457790368272</v>
      </c>
      <c r="Q38" s="687">
        <f>N38</f>
        <v/>
      </c>
      <c r="R38" s="686" t="n">
        <v>1482</v>
      </c>
      <c r="S38" s="686" t="n">
        <v>704.4000000000001</v>
      </c>
    </row>
    <row r="39">
      <c r="A39" s="467" t="inlineStr">
        <is>
          <t>Spain</t>
        </is>
      </c>
      <c r="B39" s="686" t="n">
        <v>6626.456475920681</v>
      </c>
      <c r="C39" s="686" t="n">
        <v>5074.536285552409</v>
      </c>
      <c r="D39" s="686" t="n">
        <v>3975.873885552408</v>
      </c>
      <c r="E39" s="686" t="n">
        <v>3151.877085552409</v>
      </c>
      <c r="F39" s="686" t="n">
        <v>2101.251390368272</v>
      </c>
      <c r="G39" s="686" t="n">
        <v>2101.251390368272</v>
      </c>
      <c r="H39" s="687">
        <f>E39</f>
        <v/>
      </c>
      <c r="I39" s="686" t="n">
        <v>1506</v>
      </c>
      <c r="J39" s="686" t="n">
        <v>714</v>
      </c>
      <c r="K39" s="686" t="n">
        <v>8261.144475920681</v>
      </c>
      <c r="L39" s="686" t="n">
        <v>6382.286685552408</v>
      </c>
      <c r="M39" s="686" t="n">
        <v>4956.686685552408</v>
      </c>
      <c r="N39" s="686" t="n">
        <v>3887.486685552408</v>
      </c>
      <c r="O39" s="686" t="n">
        <v>2591.657790368272</v>
      </c>
      <c r="P39" s="686" t="n">
        <v>2591.657790368272</v>
      </c>
      <c r="Q39" s="687">
        <f>N39</f>
        <v/>
      </c>
      <c r="R39" s="686" t="n">
        <v>1968</v>
      </c>
      <c r="S39" s="686" t="n">
        <v>898.8000000000001</v>
      </c>
    </row>
    <row r="40">
      <c r="A40" s="467" t="inlineStr">
        <is>
          <t>Sweden</t>
        </is>
      </c>
      <c r="B40" s="686" t="n">
        <v>7375.544475920679</v>
      </c>
      <c r="C40" s="686" t="n">
        <v>5673.806685552408</v>
      </c>
      <c r="D40" s="686" t="n">
        <v>4425.326685552408</v>
      </c>
      <c r="E40" s="686" t="n">
        <v>3488.966685552408</v>
      </c>
      <c r="F40" s="686" t="n">
        <v>2325.977790368272</v>
      </c>
      <c r="G40" s="686" t="n">
        <v>2325.977790368272</v>
      </c>
      <c r="H40" s="687">
        <f>E40</f>
        <v/>
      </c>
      <c r="I40" s="686" t="n">
        <v>1686</v>
      </c>
      <c r="J40" s="686" t="n">
        <v>786</v>
      </c>
      <c r="K40" s="686" t="n">
        <v>9233.144475920681</v>
      </c>
      <c r="L40" s="686" t="n">
        <v>7159.886685552408</v>
      </c>
      <c r="M40" s="686" t="n">
        <v>5539.886685552408</v>
      </c>
      <c r="N40" s="686" t="n">
        <v>4324.886685552408</v>
      </c>
      <c r="O40" s="686" t="n">
        <v>2883.257790368272</v>
      </c>
      <c r="P40" s="686" t="n">
        <v>2883.257790368272</v>
      </c>
      <c r="Q40" s="687">
        <f>N40</f>
        <v/>
      </c>
      <c r="R40" s="686" t="n">
        <v>2211</v>
      </c>
      <c r="S40" s="686" t="n">
        <v>996</v>
      </c>
    </row>
    <row r="41">
      <c r="A41" s="467" t="inlineStr">
        <is>
          <t>Switzerland</t>
        </is>
      </c>
      <c r="B41" s="686" t="n">
        <v>8873.72047592068</v>
      </c>
      <c r="C41" s="686" t="n">
        <v>6872.347485552407</v>
      </c>
      <c r="D41" s="686" t="n">
        <v>5324.232285552407</v>
      </c>
      <c r="E41" s="686" t="n">
        <v>4163.145885552408</v>
      </c>
      <c r="F41" s="686" t="n">
        <v>2775.430590368272</v>
      </c>
      <c r="G41" s="686" t="n">
        <v>2775.430590368272</v>
      </c>
      <c r="H41" s="687">
        <f>E41</f>
        <v/>
      </c>
      <c r="I41" s="686" t="n">
        <v>2046</v>
      </c>
      <c r="J41" s="686" t="n">
        <v>930</v>
      </c>
      <c r="K41" s="686" t="n">
        <v>11177.14447592068</v>
      </c>
      <c r="L41" s="686" t="n">
        <v>8715.086685552409</v>
      </c>
      <c r="M41" s="686" t="n">
        <v>6706.286685552408</v>
      </c>
      <c r="N41" s="686" t="n">
        <v>5199.686685552408</v>
      </c>
      <c r="O41" s="686" t="n">
        <v>3466.457790368272</v>
      </c>
      <c r="P41" s="686" t="n">
        <v>3466.457790368272</v>
      </c>
      <c r="Q41" s="687">
        <f>N41</f>
        <v/>
      </c>
      <c r="R41" s="686" t="n">
        <v>2697</v>
      </c>
      <c r="S41" s="686" t="n">
        <v>1190.4</v>
      </c>
    </row>
    <row r="42">
      <c r="A42" s="131" t="inlineStr">
        <is>
          <t>Netherlands</t>
        </is>
      </c>
      <c r="B42" s="686" t="n">
        <v>7375.544475920679</v>
      </c>
      <c r="C42" s="686" t="n">
        <v>5673.806685552408</v>
      </c>
      <c r="D42" s="686" t="n">
        <v>4425.326685552408</v>
      </c>
      <c r="E42" s="686" t="n">
        <v>3488.966685552408</v>
      </c>
      <c r="F42" s="686" t="n">
        <v>2325.977790368272</v>
      </c>
      <c r="G42" s="686" t="n">
        <v>2325.977790368272</v>
      </c>
      <c r="H42" s="687">
        <f>E42</f>
        <v/>
      </c>
      <c r="I42" s="686" t="n">
        <v>1686</v>
      </c>
      <c r="J42" s="686" t="n">
        <v>786</v>
      </c>
      <c r="K42" s="686" t="n">
        <v>9233.144475920681</v>
      </c>
      <c r="L42" s="686" t="n">
        <v>7159.886685552408</v>
      </c>
      <c r="M42" s="686" t="n">
        <v>5539.886685552408</v>
      </c>
      <c r="N42" s="686" t="n">
        <v>4324.886685552408</v>
      </c>
      <c r="O42" s="686" t="n">
        <v>2883.257790368272</v>
      </c>
      <c r="P42" s="686" t="n">
        <v>2883.257790368272</v>
      </c>
      <c r="Q42" s="687">
        <f>N42</f>
        <v/>
      </c>
      <c r="R42" s="686" t="n">
        <v>2211</v>
      </c>
      <c r="S42" s="686" t="n">
        <v>996</v>
      </c>
    </row>
    <row r="43">
      <c r="A43" s="467" t="inlineStr">
        <is>
          <t>Turkey</t>
        </is>
      </c>
      <c r="B43" s="686" t="n">
        <v>5128.28047592068</v>
      </c>
      <c r="C43" s="686" t="n">
        <v>3875.995485552408</v>
      </c>
      <c r="D43" s="686" t="n">
        <v>3076.968285552408</v>
      </c>
      <c r="E43" s="686" t="n">
        <v>2477.697885552408</v>
      </c>
      <c r="F43" s="686" t="n">
        <v>1651.798590368272</v>
      </c>
      <c r="G43" s="686" t="n">
        <v>1651.798590368272</v>
      </c>
      <c r="H43" s="687">
        <f>E43</f>
        <v/>
      </c>
      <c r="I43" s="686" t="n">
        <v>1146</v>
      </c>
      <c r="J43" s="686" t="n">
        <v>570</v>
      </c>
      <c r="K43" s="686" t="n">
        <v>6317.144475920681</v>
      </c>
      <c r="L43" s="686" t="n">
        <v>4827.086685552409</v>
      </c>
      <c r="M43" s="686" t="n">
        <v>3790.286685552408</v>
      </c>
      <c r="N43" s="686" t="n">
        <v>3012.686685552408</v>
      </c>
      <c r="O43" s="686" t="n">
        <v>2008.457790368272</v>
      </c>
      <c r="P43" s="686" t="n">
        <v>2008.457790368272</v>
      </c>
      <c r="Q43" s="687">
        <f>N43</f>
        <v/>
      </c>
      <c r="R43" s="686" t="n">
        <v>1482</v>
      </c>
      <c r="S43" s="686" t="n">
        <v>704.4000000000001</v>
      </c>
    </row>
    <row r="44">
      <c r="A44" s="467" t="inlineStr">
        <is>
          <t>United Arab Emirates</t>
        </is>
      </c>
      <c r="B44" s="686" t="n">
        <v>6626.456475920681</v>
      </c>
      <c r="C44" s="686" t="n">
        <v>5074.536285552409</v>
      </c>
      <c r="D44" s="686" t="n">
        <v>3975.873885552408</v>
      </c>
      <c r="E44" s="686" t="n">
        <v>3151.877085552409</v>
      </c>
      <c r="F44" s="686" t="n">
        <v>2101.251390368272</v>
      </c>
      <c r="G44" s="686" t="n">
        <v>2101.251390368272</v>
      </c>
      <c r="H44" s="687">
        <f>E44</f>
        <v/>
      </c>
      <c r="I44" s="686" t="n">
        <v>1506</v>
      </c>
      <c r="J44" s="686" t="n">
        <v>714</v>
      </c>
      <c r="K44" s="686" t="n">
        <v>8261.144475920681</v>
      </c>
      <c r="L44" s="686" t="n">
        <v>6382.286685552408</v>
      </c>
      <c r="M44" s="686" t="n">
        <v>4956.686685552408</v>
      </c>
      <c r="N44" s="686" t="n">
        <v>3887.486685552408</v>
      </c>
      <c r="O44" s="686" t="n">
        <v>2591.657790368272</v>
      </c>
      <c r="P44" s="686" t="n">
        <v>2591.657790368272</v>
      </c>
      <c r="Q44" s="687">
        <f>N44</f>
        <v/>
      </c>
      <c r="R44" s="686" t="n">
        <v>1968</v>
      </c>
      <c r="S44" s="686" t="n">
        <v>898.8000000000001</v>
      </c>
    </row>
    <row r="45" customFormat="1" s="177">
      <c r="A45" s="469" t="inlineStr">
        <is>
          <t>United Kingdom</t>
        </is>
      </c>
      <c r="B45" s="690" t="n">
        <v>7375.544475920679</v>
      </c>
      <c r="C45" s="690" t="n">
        <v>5673.806685552408</v>
      </c>
      <c r="D45" s="690" t="n">
        <v>4425.326685552408</v>
      </c>
      <c r="E45" s="690" t="n">
        <v>3488.966685552408</v>
      </c>
      <c r="F45" s="690" t="n">
        <v>2325.977790368272</v>
      </c>
      <c r="G45" s="690" t="n">
        <v>2325.977790368272</v>
      </c>
      <c r="H45" s="691">
        <f>E45</f>
        <v/>
      </c>
      <c r="I45" s="690" t="n">
        <v>1686</v>
      </c>
      <c r="J45" s="690" t="n">
        <v>786</v>
      </c>
      <c r="K45" s="690" t="n">
        <v>9233.144475920681</v>
      </c>
      <c r="L45" s="690" t="n">
        <v>7159.886685552408</v>
      </c>
      <c r="M45" s="690" t="n">
        <v>5539.886685552408</v>
      </c>
      <c r="N45" s="690" t="n">
        <v>4324.886685552408</v>
      </c>
      <c r="O45" s="690" t="n">
        <v>2883.257790368272</v>
      </c>
      <c r="P45" s="690" t="n">
        <v>2883.257790368272</v>
      </c>
      <c r="Q45" s="691">
        <f>N45</f>
        <v/>
      </c>
      <c r="R45" s="690" t="n">
        <v>2211</v>
      </c>
      <c r="S45" s="690" t="n">
        <v>996</v>
      </c>
    </row>
  </sheetData>
  <mergeCells count="2">
    <mergeCell ref="B1:J1"/>
    <mergeCell ref="K1:P1"/>
  </mergeCells>
  <pageMargins left="0.7" right="0.7" top="0.75" bottom="0.75" header="0.3" footer="0.3"/>
  <headerFooter>
    <oddHeader/>
    <oddFooter>&amp;C&amp;"Calibri"&amp;10 &amp;K008000_x000d_# INTERNAL_x000d_&amp;1#&amp;"Calibri"&amp;10 &amp;K008000 GENERAL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B16" sqref="B16:E16"/>
    </sheetView>
  </sheetViews>
  <sheetFormatPr baseColWidth="8" defaultColWidth="9.125" defaultRowHeight="14.1"/>
  <cols>
    <col width="3.875" customWidth="1" style="433" min="1" max="1"/>
    <col width="36.125" bestFit="1" customWidth="1" style="433" min="2" max="2"/>
    <col width="28.625" customWidth="1" style="433" min="3" max="3"/>
    <col width="30.125" customWidth="1" style="433" min="4" max="4"/>
    <col width="16.125" customWidth="1" style="433" min="5" max="5"/>
  </cols>
  <sheetData>
    <row r="2">
      <c r="B2" s="424" t="inlineStr">
        <is>
          <t>Google GDC PMO Team</t>
        </is>
      </c>
    </row>
    <row r="3">
      <c r="B3" s="236" t="inlineStr">
        <is>
          <t>Project Role AKA</t>
        </is>
      </c>
      <c r="C3" s="236" t="inlineStr">
        <is>
          <t>WWT Oracle Role</t>
        </is>
      </c>
      <c r="D3" s="236" t="inlineStr">
        <is>
          <t>Cost Center</t>
        </is>
      </c>
      <c r="E3" s="233" t="inlineStr">
        <is>
          <t>2026 Cost Rate</t>
        </is>
      </c>
    </row>
    <row r="4">
      <c r="B4" s="236" t="n"/>
      <c r="C4" s="239" t="inlineStr">
        <is>
          <t>&lt;&lt;Select Role&gt;&gt;</t>
        </is>
      </c>
      <c r="D4" s="236" t="n"/>
      <c r="E4" s="233" t="n"/>
    </row>
    <row r="5">
      <c r="B5" s="239" t="inlineStr">
        <is>
          <t>Strategic Program Mgr</t>
        </is>
      </c>
      <c r="C5" s="238" t="inlineStr">
        <is>
          <t xml:space="preserve">Project Management.SPgM </t>
        </is>
      </c>
      <c r="D5" t="inlineStr">
        <is>
          <t>IS DS PMO SPS Pgm Mgmt</t>
        </is>
      </c>
      <c r="E5" s="629">
        <f>168.08/0.95</f>
        <v/>
      </c>
    </row>
    <row r="6">
      <c r="B6" s="239" t="inlineStr">
        <is>
          <t>Senior PM</t>
        </is>
      </c>
      <c r="C6" s="238" t="inlineStr">
        <is>
          <t>Project Management.Sr PM</t>
        </is>
      </c>
      <c r="D6" t="inlineStr">
        <is>
          <t>IS DS PMO Dedicated</t>
        </is>
      </c>
      <c r="E6" s="629">
        <f>133.7/0.95</f>
        <v/>
      </c>
    </row>
    <row r="7">
      <c r="B7" s="239" t="inlineStr">
        <is>
          <t>Financial Analyst</t>
        </is>
      </c>
      <c r="C7" s="238" t="inlineStr">
        <is>
          <t>Program.Analyst</t>
        </is>
      </c>
      <c r="D7" t="inlineStr">
        <is>
          <t>IS DS PMO SPS FA</t>
        </is>
      </c>
      <c r="E7" s="629">
        <f>99.96/0.95</f>
        <v/>
      </c>
    </row>
    <row r="8">
      <c r="B8" s="239" t="inlineStr">
        <is>
          <t>PC</t>
        </is>
      </c>
      <c r="C8" s="238" t="inlineStr">
        <is>
          <t>Project Management.Proj Coor</t>
        </is>
      </c>
      <c r="D8" t="inlineStr">
        <is>
          <t>IS DS Dedicated Web Svcs PMO</t>
        </is>
      </c>
      <c r="E8" s="629">
        <f>64.94/0.95</f>
        <v/>
      </c>
    </row>
    <row r="9">
      <c r="B9" s="239" t="inlineStr">
        <is>
          <t>PM</t>
        </is>
      </c>
      <c r="C9" s="238" t="inlineStr">
        <is>
          <t>Project Management.PM</t>
        </is>
      </c>
      <c r="D9" t="inlineStr">
        <is>
          <t>IS DS Dedicated Web Svcs PMO</t>
        </is>
      </c>
      <c r="E9" s="629">
        <f>91.68/0.95</f>
        <v/>
      </c>
    </row>
    <row r="10">
      <c r="B10" s="239" t="inlineStr">
        <is>
          <t>Business Analyst</t>
        </is>
      </c>
      <c r="C10" s="238" t="inlineStr">
        <is>
          <t>Business Analyst</t>
        </is>
      </c>
      <c r="D10" t="inlineStr">
        <is>
          <t>Subcontractor - Purview</t>
        </is>
      </c>
      <c r="E10" s="629" t="n">
        <v>85</v>
      </c>
    </row>
    <row r="11">
      <c r="B11" s="239" t="inlineStr">
        <is>
          <t>Day 2 Ops Manager</t>
        </is>
      </c>
      <c r="C11" s="238" t="inlineStr">
        <is>
          <t>Day 2 Ops Manager</t>
        </is>
      </c>
      <c r="D11" t="inlineStr">
        <is>
          <t>Subcontractor - Purview</t>
        </is>
      </c>
      <c r="E11" s="629" t="n">
        <v>85</v>
      </c>
    </row>
    <row r="12">
      <c r="B12" s="239" t="inlineStr">
        <is>
          <t>Config Manager</t>
        </is>
      </c>
      <c r="C12" s="238" t="inlineStr">
        <is>
          <t>Config Manager</t>
        </is>
      </c>
      <c r="D12" t="inlineStr">
        <is>
          <t>Subcontractor - Matchpoint</t>
        </is>
      </c>
      <c r="E12" s="629" t="n">
        <v>122</v>
      </c>
    </row>
    <row r="13">
      <c r="B13" s="239" t="inlineStr">
        <is>
          <t>Fed Pool</t>
        </is>
      </c>
      <c r="C13" s="238" t="inlineStr">
        <is>
          <t>WWT GS Layer 3 - Onsite</t>
        </is>
      </c>
      <c r="D13" t="inlineStr">
        <is>
          <t>Subcontractor - WWT Federal LLC</t>
        </is>
      </c>
      <c r="E13" s="629" t="n">
        <v>91.2</v>
      </c>
    </row>
    <row r="14">
      <c r="B14" s="239" t="inlineStr">
        <is>
          <t>Subcontractor - Tecee (sub to Opes Cyber)</t>
        </is>
      </c>
      <c r="C14" s="238" t="inlineStr">
        <is>
          <t>Teceze PM</t>
        </is>
      </c>
      <c r="D14" t="inlineStr">
        <is>
          <t>Subcontractor - Teceze</t>
        </is>
      </c>
      <c r="E14" s="629" t="n">
        <v>155</v>
      </c>
    </row>
    <row r="16">
      <c r="B16" s="424" t="inlineStr">
        <is>
          <t>PMO Formula</t>
        </is>
      </c>
    </row>
    <row r="18">
      <c r="B18" s="16" t="inlineStr">
        <is>
          <t>Milestone 2 Rev</t>
        </is>
      </c>
      <c r="C18" s="16" t="inlineStr">
        <is>
          <t>Milestone 2 Cost w/o PMO</t>
        </is>
      </c>
      <c r="D18" s="16" t="inlineStr">
        <is>
          <t>Cost at 35%</t>
        </is>
      </c>
      <c r="E18" s="16" t="inlineStr">
        <is>
          <t>Delta</t>
        </is>
      </c>
    </row>
    <row r="19">
      <c r="B19" s="628">
        <f>SUM(OLD!I8,OLD!J8,OLD!K8)</f>
        <v/>
      </c>
      <c r="C19" s="692">
        <f>SUM(Summary!G22,Summary!G23)</f>
        <v/>
      </c>
      <c r="D19" s="629">
        <f>B19-(B19*0.35)</f>
        <v/>
      </c>
      <c r="E19" s="629">
        <f>D19-C19</f>
        <v/>
      </c>
    </row>
  </sheetData>
  <mergeCells count="2">
    <mergeCell ref="B2:E2"/>
    <mergeCell ref="B16:E16"/>
  </mergeCell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Sheet11">
    <tabColor theme="5" tint="0.7999816888943144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ColWidth="9" defaultRowHeight="14.1"/>
  <cols>
    <col width="8.5" customWidth="1" style="1" min="1" max="1"/>
    <col width="54.5" customWidth="1" style="1" min="2" max="2"/>
    <col width="44.5" customWidth="1" style="1" min="3" max="3"/>
    <col width="7.5" customWidth="1" style="25" min="4" max="6"/>
    <col width="12" customWidth="1" style="1" min="7" max="7"/>
    <col width="14.5" customWidth="1" style="1" min="8" max="8"/>
    <col width="9" customWidth="1" style="1" min="9" max="9"/>
    <col width="11" customWidth="1" style="1" min="10" max="10"/>
    <col width="11.5" customWidth="1" style="1" min="11" max="11"/>
    <col width="9" customWidth="1" style="1" min="12" max="12"/>
    <col width="9" customWidth="1" style="1" min="13" max="16384"/>
  </cols>
  <sheetData>
    <row r="1">
      <c r="A1" s="33" t="inlineStr">
        <is>
          <t>&lt;Go Back to Summary&gt;</t>
        </is>
      </c>
      <c r="B1" s="458" t="n"/>
      <c r="C1" s="458" t="n"/>
      <c r="D1" s="59" t="n"/>
      <c r="E1" s="59" t="n"/>
      <c r="F1" s="59" t="n"/>
      <c r="G1" s="458" t="n"/>
      <c r="H1" s="458" t="n"/>
    </row>
    <row r="2">
      <c r="A2" s="33" t="n"/>
      <c r="B2" s="458" t="n"/>
      <c r="C2" s="458" t="n"/>
      <c r="D2" s="59" t="n"/>
      <c r="E2" s="59" t="n"/>
      <c r="F2" s="59" t="n"/>
      <c r="G2" s="458" t="n"/>
      <c r="H2" s="458" t="n"/>
    </row>
    <row r="3">
      <c r="A3" s="2" t="inlineStr">
        <is>
          <t>Other Expenses to Recover through Project</t>
        </is>
      </c>
      <c r="B3" s="458" t="n"/>
      <c r="C3" s="84" t="inlineStr">
        <is>
          <t>NOTE: Expenses have been moved under WBS</t>
        </is>
      </c>
      <c r="D3" s="59" t="n"/>
      <c r="E3" s="59" t="n"/>
      <c r="F3" s="59" t="n"/>
      <c r="G3" s="458" t="n"/>
      <c r="H3" s="458" t="n"/>
    </row>
    <row r="4">
      <c r="A4" s="2">
        <f>IF('Summary Old'!#REF!&lt;&gt;"",'Summary Old'!#REF!&amp;" - "&amp;'Summary Old'!#REF!,"&lt;Customer and Project not assigned&gt;")</f>
        <v/>
      </c>
      <c r="B4" s="458" t="n"/>
      <c r="C4" s="458" t="n"/>
      <c r="D4" s="59" t="n"/>
      <c r="E4" s="59" t="n"/>
      <c r="F4" s="59" t="n"/>
      <c r="G4" s="458" t="n"/>
      <c r="H4" s="458" t="n"/>
    </row>
    <row r="5">
      <c r="A5" s="2">
        <f>IF('Summary Old'!#REF!&lt;&gt;"",'Summary Old'!#REF!,"&lt;IR not assigned&gt;")</f>
        <v/>
      </c>
      <c r="B5" s="458" t="n"/>
      <c r="C5" s="458" t="n"/>
      <c r="D5" s="59" t="n"/>
      <c r="E5" s="59" t="n"/>
      <c r="F5" s="59" t="n"/>
      <c r="G5" s="458" t="n"/>
      <c r="H5" s="458" t="n"/>
    </row>
    <row r="7" ht="14.45" customHeight="1" s="433">
      <c r="A7" s="23" t="inlineStr">
        <is>
          <t>This section can be used to budget for recovery of P&amp;L expenses that are not direct project costs.</t>
        </is>
      </c>
      <c r="B7" s="2" t="n"/>
      <c r="C7" s="2" t="n"/>
      <c r="D7" s="422" t="n"/>
      <c r="E7" s="422" t="n"/>
      <c r="F7" s="422" t="n"/>
      <c r="G7" s="693" t="n"/>
      <c r="H7" s="693" t="n"/>
    </row>
    <row r="8" ht="14.45" customHeight="1" s="433" thickBot="1">
      <c r="A8" s="2" t="n"/>
      <c r="B8" s="2" t="n"/>
      <c r="C8" s="2" t="n"/>
      <c r="D8" s="422" t="inlineStr">
        <is>
          <t>Qty A</t>
        </is>
      </c>
      <c r="E8" s="422" t="inlineStr">
        <is>
          <t>Qty B</t>
        </is>
      </c>
      <c r="F8" s="422" t="inlineStr">
        <is>
          <t>A*B</t>
        </is>
      </c>
      <c r="G8" s="694" t="inlineStr">
        <is>
          <t>UnitCost</t>
        </is>
      </c>
      <c r="H8" s="694" t="inlineStr">
        <is>
          <t>ExtCost</t>
        </is>
      </c>
    </row>
    <row r="9" ht="14.45" customHeight="1" s="433" thickBot="1">
      <c r="A9" s="3" t="inlineStr">
        <is>
          <t>Other Expenses</t>
        </is>
      </c>
      <c r="B9" s="4" t="n"/>
      <c r="C9" s="4" t="n"/>
      <c r="D9" s="24" t="n"/>
      <c r="E9" s="24" t="n"/>
      <c r="F9" s="24" t="n"/>
      <c r="G9" s="24" t="n"/>
      <c r="H9" s="36" t="n"/>
    </row>
    <row r="10">
      <c r="A10" s="2" t="n"/>
      <c r="B10" s="2" t="n"/>
      <c r="C10" s="458" t="n"/>
      <c r="D10" s="59" t="n"/>
      <c r="E10" s="59" t="n"/>
      <c r="F10" s="59" t="n"/>
      <c r="G10" s="695" t="n"/>
      <c r="H10" s="695" t="n"/>
    </row>
    <row r="11">
      <c r="A11" s="2" t="n"/>
      <c r="B11" s="458" t="n"/>
      <c r="C11" s="458" t="n"/>
      <c r="D11" s="35" t="n"/>
      <c r="E11" s="35" t="n">
        <v>1</v>
      </c>
      <c r="F11" s="61">
        <f>D11*E11</f>
        <v/>
      </c>
      <c r="G11" s="695" t="n">
        <v>0</v>
      </c>
      <c r="H11" s="695" t="n"/>
    </row>
    <row r="12">
      <c r="A12" s="2" t="n"/>
      <c r="B12" s="458" t="n"/>
      <c r="C12" s="458" t="n"/>
      <c r="D12" s="35" t="n"/>
      <c r="E12" s="35" t="n">
        <v>1</v>
      </c>
      <c r="F12" s="61">
        <f>D12*E12</f>
        <v/>
      </c>
      <c r="G12" s="695" t="n">
        <v>0</v>
      </c>
      <c r="H12" s="695">
        <f>F12*G12</f>
        <v/>
      </c>
    </row>
    <row r="13">
      <c r="A13" s="2" t="n"/>
      <c r="B13" s="458" t="n"/>
      <c r="C13" s="458" t="n"/>
      <c r="D13" s="35" t="n"/>
      <c r="E13" s="35" t="n">
        <v>1</v>
      </c>
      <c r="F13" s="61">
        <f>D13*E13</f>
        <v/>
      </c>
      <c r="G13" s="695" t="n">
        <v>0</v>
      </c>
      <c r="H13" s="695">
        <f>F13*G13</f>
        <v/>
      </c>
    </row>
    <row r="14">
      <c r="A14" s="2" t="n"/>
      <c r="B14" s="458" t="n"/>
      <c r="C14" s="458" t="n"/>
      <c r="D14" s="35" t="n"/>
      <c r="E14" s="35" t="n">
        <v>1</v>
      </c>
      <c r="F14" s="61">
        <f>D14*E14</f>
        <v/>
      </c>
      <c r="G14" s="695" t="n">
        <v>0</v>
      </c>
      <c r="H14" s="695">
        <f>F14*G14</f>
        <v/>
      </c>
    </row>
    <row r="15">
      <c r="A15" s="2" t="n"/>
      <c r="B15" s="458" t="n"/>
      <c r="C15" s="458" t="n"/>
      <c r="D15" s="35" t="n"/>
      <c r="E15" s="35" t="n">
        <v>1</v>
      </c>
      <c r="F15" s="61">
        <f>D15*E15</f>
        <v/>
      </c>
      <c r="G15" s="695" t="n">
        <v>0</v>
      </c>
      <c r="H15" s="695">
        <f>F15*G15</f>
        <v/>
      </c>
    </row>
    <row r="16">
      <c r="A16" s="2" t="n"/>
      <c r="B16" s="458" t="n"/>
      <c r="C16" s="458" t="n"/>
      <c r="D16" s="35" t="n"/>
      <c r="E16" s="35" t="n">
        <v>1</v>
      </c>
      <c r="F16" s="61">
        <f>D16*E16</f>
        <v/>
      </c>
      <c r="G16" s="695" t="n">
        <v>0</v>
      </c>
      <c r="H16" s="695">
        <f>F16*G16</f>
        <v/>
      </c>
    </row>
    <row r="17">
      <c r="A17" s="2" t="n"/>
      <c r="B17" s="458" t="n"/>
      <c r="C17" s="458" t="n"/>
      <c r="D17" s="35" t="n"/>
      <c r="E17" s="35" t="n">
        <v>1</v>
      </c>
      <c r="F17" s="61">
        <f>D17*E17</f>
        <v/>
      </c>
      <c r="G17" s="695" t="n">
        <v>0</v>
      </c>
      <c r="H17" s="695">
        <f>F17*G17</f>
        <v/>
      </c>
    </row>
    <row r="18">
      <c r="A18" s="2" t="n"/>
      <c r="B18" s="458" t="n"/>
      <c r="C18" s="458" t="n"/>
      <c r="D18" s="35" t="n"/>
      <c r="E18" s="35" t="n">
        <v>1</v>
      </c>
      <c r="F18" s="61">
        <f>D18*E18</f>
        <v/>
      </c>
      <c r="G18" s="695" t="n">
        <v>0</v>
      </c>
      <c r="H18" s="695">
        <f>F18*G18</f>
        <v/>
      </c>
    </row>
    <row r="19">
      <c r="A19" s="2" t="n"/>
      <c r="B19" s="458" t="n"/>
      <c r="C19" s="458" t="n"/>
      <c r="D19" s="35" t="n"/>
      <c r="E19" s="35" t="n">
        <v>1</v>
      </c>
      <c r="F19" s="61">
        <f>D19*E19</f>
        <v/>
      </c>
      <c r="G19" s="695" t="n">
        <v>0</v>
      </c>
      <c r="H19" s="695">
        <f>F19*G19</f>
        <v/>
      </c>
    </row>
    <row r="20">
      <c r="A20" s="2" t="n"/>
      <c r="B20" s="458" t="n"/>
      <c r="C20" s="458" t="n"/>
      <c r="D20" s="35" t="n"/>
      <c r="E20" s="35" t="n">
        <v>1</v>
      </c>
      <c r="F20" s="61">
        <f>D20*E20</f>
        <v/>
      </c>
      <c r="G20" s="695" t="n">
        <v>0</v>
      </c>
      <c r="H20" s="695">
        <f>F20*G20</f>
        <v/>
      </c>
    </row>
    <row r="22" ht="14.45" customHeight="1" s="433" thickBot="1">
      <c r="A22" s="458" t="n"/>
      <c r="B22" s="458" t="n"/>
      <c r="C22" s="458" t="n"/>
      <c r="D22" s="59" t="n"/>
      <c r="E22" s="59" t="n"/>
      <c r="F22" s="59" t="n"/>
      <c r="G22" s="458" t="n"/>
      <c r="H22" s="458" t="n"/>
    </row>
    <row r="23" ht="14.45" customHeight="1" s="433" thickTop="1">
      <c r="A23" s="6" t="inlineStr">
        <is>
          <t>Total</t>
        </is>
      </c>
      <c r="B23" s="8" t="n"/>
      <c r="C23" s="8" t="n"/>
      <c r="D23" s="34" t="n"/>
      <c r="E23" s="34" t="n"/>
      <c r="F23" s="34" t="n"/>
      <c r="G23" s="8" t="n"/>
      <c r="H23" s="696">
        <f>ROUND(SUM(H10:H22),2)</f>
        <v/>
      </c>
    </row>
  </sheetData>
  <hyperlinks>
    <hyperlink ref="A1" location="Summary!A1" display="Back to Summary"/>
  </hyperlinks>
  <pageMargins left="0.7" right="0.7" top="0.75" bottom="0.75" header="0.3" footer="0.3"/>
  <pageSetup orientation="landscape" scale="65" fitToHeight="999"/>
  <headerFooter>
    <oddHeader/>
    <oddFooter>&amp;C&amp;"Calibri"&amp;10 &amp;K008000_x000d_# GENERAL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8.5" defaultRowHeight="14.1"/>
  <cols>
    <col width="34" bestFit="1" customWidth="1" style="433" min="1" max="1"/>
  </cols>
  <sheetData>
    <row r="1">
      <c r="A1" t="inlineStr">
        <is>
          <t>&lt;Select&gt;</t>
        </is>
      </c>
    </row>
    <row r="2">
      <c r="A2" t="inlineStr">
        <is>
          <t>new internal project (most common).</t>
        </is>
      </c>
    </row>
    <row r="3">
      <c r="A3" t="inlineStr">
        <is>
          <t>change to existing internal project (rare).</t>
        </is>
      </c>
    </row>
  </sheetData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codeName="Sheet9"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8.5" defaultRowHeight="14.1"/>
  <sheetData>
    <row r="1">
      <c r="A1" s="33" t="inlineStr">
        <is>
          <t>&lt;Go Back to Summary&gt;</t>
        </is>
      </c>
    </row>
    <row r="4">
      <c r="A4" t="inlineStr">
        <is>
          <t>For future use.</t>
        </is>
      </c>
    </row>
    <row r="5">
      <c r="A5" t="inlineStr">
        <is>
          <t>Use PS Deployment Project tab for now.</t>
        </is>
      </c>
    </row>
  </sheetData>
  <hyperlinks>
    <hyperlink ref="A1" location="Summary!A1" display="Back to Summary"/>
  </hyperlink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codeName="Sheet10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8.5" defaultRowHeight="14.1"/>
  <cols>
    <col width="9" customWidth="1" style="433" min="1" max="1"/>
    <col width="14" customWidth="1" style="433" min="2" max="2"/>
    <col width="53.5" customWidth="1" style="433" min="3" max="3"/>
  </cols>
  <sheetData>
    <row r="1">
      <c r="A1" s="33" t="inlineStr">
        <is>
          <t>&lt;Go Back to Summary&gt;</t>
        </is>
      </c>
    </row>
    <row r="3">
      <c r="A3" s="2" t="inlineStr">
        <is>
          <t>Variables</t>
        </is>
      </c>
    </row>
    <row r="4">
      <c r="A4" t="inlineStr">
        <is>
          <t xml:space="preserve">If you need to reference the same values multiple times on a WBS, create variables here and reference them on WBS or other sections. </t>
        </is>
      </c>
    </row>
    <row r="5">
      <c r="A5" t="inlineStr">
        <is>
          <t xml:space="preserve">This can make it much faster and easier to adjust quantities of devices, sites, phones, APs, IDFs, racks, etc. later. </t>
        </is>
      </c>
    </row>
    <row r="7">
      <c r="B7" t="inlineStr">
        <is>
          <t>Value</t>
        </is>
      </c>
      <c r="C7" t="inlineStr">
        <is>
          <t>Description</t>
        </is>
      </c>
    </row>
  </sheetData>
  <hyperlinks>
    <hyperlink ref="A1" location="Summary!A1" display="&lt;Go Back to Summary&gt;"/>
  </hyperlinks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Sheet16">
    <tabColor rgb="FFFFC000"/>
    <outlinePr summaryBelow="1" summaryRight="1"/>
    <pageSetUpPr/>
  </sheetPr>
  <dimension ref="B1:J358"/>
  <sheetViews>
    <sheetView workbookViewId="0">
      <selection activeCell="A1" sqref="A1"/>
    </sheetView>
  </sheetViews>
  <sheetFormatPr baseColWidth="8" defaultColWidth="17.5" defaultRowHeight="14.1"/>
  <cols>
    <col width="60.5" bestFit="1" customWidth="1" style="433" min="2" max="2"/>
    <col width="12" customWidth="1" style="433" min="3" max="3"/>
    <col width="11" customWidth="1" style="433" min="4" max="4"/>
    <col width="37.5" customWidth="1" style="433" min="5" max="5"/>
    <col width="26.375" customWidth="1" style="81" min="6" max="6"/>
    <col width="17.5" customWidth="1" style="81" min="7" max="7"/>
    <col width="37" customWidth="1" style="433" min="8" max="8"/>
    <col width="21.375" customWidth="1" style="81" min="10" max="10"/>
  </cols>
  <sheetData>
    <row r="1">
      <c r="C1" t="inlineStr">
        <is>
          <t xml:space="preserve">Country </t>
        </is>
      </c>
      <c r="D1" t="inlineStr">
        <is>
          <t>Currency Code</t>
        </is>
      </c>
      <c r="E1" t="inlineStr">
        <is>
          <t>Cost Center Hierarchy</t>
        </is>
      </c>
      <c r="F1" s="81" t="inlineStr">
        <is>
          <t>Cost Center Name</t>
        </is>
      </c>
      <c r="G1" s="81" t="inlineStr">
        <is>
          <t>Job Code</t>
        </is>
      </c>
      <c r="H1" t="inlineStr">
        <is>
          <t>Job Name</t>
        </is>
      </c>
      <c r="I1" t="inlineStr">
        <is>
          <t>Currency Symbol</t>
        </is>
      </c>
      <c r="J1" s="81" t="inlineStr">
        <is>
          <t>Standard Burden Cost Rate</t>
        </is>
      </c>
    </row>
    <row r="2">
      <c r="B2">
        <f>Table1[[#This Row],[Cost Center Name]]&amp;Table1[[#This Row],[Job Name]]&amp;" "&amp;"-"&amp;" "&amp;Table1[[#This Row],[Job Code]]</f>
        <v/>
      </c>
      <c r="C2" t="inlineStr">
        <is>
          <t>US</t>
        </is>
      </c>
      <c r="D2" t="inlineStr">
        <is>
          <t>USD</t>
        </is>
      </c>
      <c r="E2" t="inlineStr">
        <is>
          <t xml:space="preserve">Application Services </t>
        </is>
      </c>
      <c r="F2" s="81" t="inlineStr">
        <is>
          <t>AS - Overhead</t>
        </is>
      </c>
      <c r="G2" s="81" t="n">
        <v>100012</v>
      </c>
      <c r="H2" t="inlineStr">
        <is>
          <t>Agile Delivery.Director</t>
        </is>
      </c>
      <c r="I2" t="inlineStr">
        <is>
          <t>$</t>
        </is>
      </c>
      <c r="J2" s="81" t="n">
        <v>245.25</v>
      </c>
    </row>
    <row r="3">
      <c r="B3">
        <f>Table1[[#This Row],[Cost Center Name]]&amp;Table1[[#This Row],[Job Name]]&amp;" "&amp;"-"&amp;" "&amp;Table1[[#This Row],[Job Code]]</f>
        <v/>
      </c>
      <c r="C3" t="inlineStr">
        <is>
          <t>US</t>
        </is>
      </c>
      <c r="D3" t="inlineStr">
        <is>
          <t>USD</t>
        </is>
      </c>
      <c r="E3" t="inlineStr">
        <is>
          <t xml:space="preserve">Application Services </t>
        </is>
      </c>
      <c r="F3" s="81" t="inlineStr">
        <is>
          <t>AS - Overhead</t>
        </is>
      </c>
      <c r="G3" s="81" t="n">
        <v>100014</v>
      </c>
      <c r="H3" t="inlineStr">
        <is>
          <t>Agile Delivery.Product Owner</t>
        </is>
      </c>
      <c r="I3" t="inlineStr">
        <is>
          <t>$</t>
        </is>
      </c>
      <c r="J3" s="81" t="n">
        <v>157.5</v>
      </c>
    </row>
    <row r="4">
      <c r="B4">
        <f>Table1[[#This Row],[Cost Center Name]]&amp;Table1[[#This Row],[Job Name]]&amp;" "&amp;"-"&amp;" "&amp;Table1[[#This Row],[Job Code]]</f>
        <v/>
      </c>
      <c r="C4" t="inlineStr">
        <is>
          <t>US</t>
        </is>
      </c>
      <c r="D4" t="inlineStr">
        <is>
          <t>USD</t>
        </is>
      </c>
      <c r="E4" t="inlineStr">
        <is>
          <t xml:space="preserve">Application Services </t>
        </is>
      </c>
      <c r="F4" s="81" t="inlineStr">
        <is>
          <t>AS - Overhead</t>
        </is>
      </c>
      <c r="G4" s="81" t="n">
        <v>100064</v>
      </c>
      <c r="H4" t="inlineStr">
        <is>
          <t>Consulting.Director</t>
        </is>
      </c>
      <c r="I4" t="inlineStr">
        <is>
          <t>$</t>
        </is>
      </c>
      <c r="J4" s="81" t="n">
        <v>220.5</v>
      </c>
    </row>
    <row r="5">
      <c r="B5">
        <f>Table1[[#This Row],[Cost Center Name]]&amp;Table1[[#This Row],[Job Name]]&amp;" "&amp;"-"&amp;" "&amp;Table1[[#This Row],[Job Code]]</f>
        <v/>
      </c>
      <c r="C5" t="inlineStr">
        <is>
          <t>US</t>
        </is>
      </c>
      <c r="D5" t="inlineStr">
        <is>
          <t>USD</t>
        </is>
      </c>
      <c r="E5" t="inlineStr">
        <is>
          <t xml:space="preserve">Application Services </t>
        </is>
      </c>
      <c r="F5" s="81" t="inlineStr">
        <is>
          <t>AS - Overhead</t>
        </is>
      </c>
      <c r="G5" s="81" t="n">
        <v>100070</v>
      </c>
      <c r="H5" t="inlineStr">
        <is>
          <t>Consulting.Staff</t>
        </is>
      </c>
      <c r="I5" t="inlineStr">
        <is>
          <t>$</t>
        </is>
      </c>
      <c r="J5" s="81" t="n">
        <v>112.5</v>
      </c>
    </row>
    <row r="6">
      <c r="B6">
        <f>Table1[[#This Row],[Cost Center Name]]&amp;Table1[[#This Row],[Job Name]]&amp;" "&amp;"-"&amp;" "&amp;Table1[[#This Row],[Job Code]]</f>
        <v/>
      </c>
      <c r="C6" t="inlineStr">
        <is>
          <t>US</t>
        </is>
      </c>
      <c r="D6" t="inlineStr">
        <is>
          <t>USD</t>
        </is>
      </c>
      <c r="E6" t="inlineStr">
        <is>
          <t xml:space="preserve">Application Services </t>
        </is>
      </c>
      <c r="F6" s="81" t="inlineStr">
        <is>
          <t>AS - Overhead</t>
        </is>
      </c>
      <c r="G6" s="81" t="n">
        <v>100148</v>
      </c>
      <c r="H6" t="inlineStr">
        <is>
          <t>Services Overhead.Manager</t>
        </is>
      </c>
      <c r="I6" t="inlineStr">
        <is>
          <t>$</t>
        </is>
      </c>
      <c r="J6" s="81" t="n">
        <v>159.75</v>
      </c>
    </row>
    <row r="7">
      <c r="B7">
        <f>Table1[[#This Row],[Cost Center Name]]&amp;Table1[[#This Row],[Job Name]]&amp;" "&amp;"-"&amp;" "&amp;Table1[[#This Row],[Job Code]]</f>
        <v/>
      </c>
      <c r="C7" t="inlineStr">
        <is>
          <t>US</t>
        </is>
      </c>
      <c r="D7" t="inlineStr">
        <is>
          <t>USD</t>
        </is>
      </c>
      <c r="E7" t="inlineStr">
        <is>
          <t xml:space="preserve">Application Services </t>
        </is>
      </c>
      <c r="F7" s="81" t="inlineStr">
        <is>
          <t>AS - Overhead</t>
        </is>
      </c>
      <c r="G7" s="81" t="n">
        <v>100149</v>
      </c>
      <c r="H7" t="inlineStr">
        <is>
          <t>Services Overhead.Staff</t>
        </is>
      </c>
      <c r="I7" t="inlineStr">
        <is>
          <t>$</t>
        </is>
      </c>
      <c r="J7" s="81" t="n">
        <v>99</v>
      </c>
    </row>
    <row r="8">
      <c r="B8">
        <f>Table1[[#This Row],[Cost Center Name]]&amp;Table1[[#This Row],[Job Name]]&amp;" "&amp;"-"&amp;" "&amp;Table1[[#This Row],[Job Code]]</f>
        <v/>
      </c>
      <c r="C8" t="inlineStr">
        <is>
          <t>US</t>
        </is>
      </c>
      <c r="D8" t="inlineStr">
        <is>
          <t>USD</t>
        </is>
      </c>
      <c r="E8" t="inlineStr">
        <is>
          <t xml:space="preserve">Application Services </t>
        </is>
      </c>
      <c r="F8" s="81" t="inlineStr">
        <is>
          <t>AS - Overhead</t>
        </is>
      </c>
      <c r="G8" s="81" t="n">
        <v>100162</v>
      </c>
      <c r="H8" t="inlineStr">
        <is>
          <t>Software.Director</t>
        </is>
      </c>
      <c r="I8" t="inlineStr">
        <is>
          <t>$</t>
        </is>
      </c>
      <c r="J8" s="81" t="n">
        <v>213.75</v>
      </c>
    </row>
    <row r="9">
      <c r="B9">
        <f>Table1[[#This Row],[Cost Center Name]]&amp;Table1[[#This Row],[Job Name]]&amp;" "&amp;"-"&amp;" "&amp;Table1[[#This Row],[Job Code]]</f>
        <v/>
      </c>
      <c r="C9" t="inlineStr">
        <is>
          <t>US</t>
        </is>
      </c>
      <c r="D9" t="inlineStr">
        <is>
          <t>USD</t>
        </is>
      </c>
      <c r="E9" t="inlineStr">
        <is>
          <t xml:space="preserve">Application Services </t>
        </is>
      </c>
      <c r="F9" s="81" t="inlineStr">
        <is>
          <t>AS - Overhead</t>
        </is>
      </c>
      <c r="G9" s="81" t="n">
        <v>100163</v>
      </c>
      <c r="H9" t="inlineStr">
        <is>
          <t>Software.Executive</t>
        </is>
      </c>
      <c r="I9" t="inlineStr">
        <is>
          <t>$</t>
        </is>
      </c>
      <c r="J9" s="81" t="n">
        <v>261</v>
      </c>
    </row>
    <row r="10">
      <c r="B10">
        <f>Table1[[#This Row],[Cost Center Name]]&amp;Table1[[#This Row],[Job Name]]&amp;" "&amp;"-"&amp;" "&amp;Table1[[#This Row],[Job Code]]</f>
        <v/>
      </c>
      <c r="C10" t="inlineStr">
        <is>
          <t>US</t>
        </is>
      </c>
      <c r="D10" t="inlineStr">
        <is>
          <t>USD</t>
        </is>
      </c>
      <c r="E10" t="inlineStr">
        <is>
          <t xml:space="preserve">Application Services </t>
        </is>
      </c>
      <c r="F10" s="81" t="inlineStr">
        <is>
          <t>AS - Overhead</t>
        </is>
      </c>
      <c r="G10" s="81" t="n">
        <v>100164</v>
      </c>
      <c r="H10" t="inlineStr">
        <is>
          <t>Software.Solution Consultant</t>
        </is>
      </c>
      <c r="I10" t="inlineStr">
        <is>
          <t>$</t>
        </is>
      </c>
      <c r="J10" s="81" t="n">
        <v>180</v>
      </c>
    </row>
    <row r="11">
      <c r="B11">
        <f>Table1[[#This Row],[Cost Center Name]]&amp;Table1[[#This Row],[Job Name]]&amp;" "&amp;"-"&amp;" "&amp;Table1[[#This Row],[Job Code]]</f>
        <v/>
      </c>
      <c r="C11" t="inlineStr">
        <is>
          <t>US</t>
        </is>
      </c>
      <c r="D11" t="inlineStr">
        <is>
          <t>USD</t>
        </is>
      </c>
      <c r="E11" t="inlineStr">
        <is>
          <t xml:space="preserve">Application Services </t>
        </is>
      </c>
      <c r="F11" s="81" t="inlineStr">
        <is>
          <t>AS - Overhead</t>
        </is>
      </c>
      <c r="G11" s="81" t="n">
        <v>100165</v>
      </c>
      <c r="H11" t="inlineStr">
        <is>
          <t>Software.Staff</t>
        </is>
      </c>
      <c r="I11" t="inlineStr">
        <is>
          <t>$</t>
        </is>
      </c>
      <c r="J11" s="81" t="n">
        <v>87.75</v>
      </c>
    </row>
    <row r="12">
      <c r="B12">
        <f>Table1[[#This Row],[Cost Center Name]]&amp;Table1[[#This Row],[Job Name]]&amp;" "&amp;"-"&amp;" "&amp;Table1[[#This Row],[Job Code]]</f>
        <v/>
      </c>
      <c r="C12" t="inlineStr">
        <is>
          <t>US</t>
        </is>
      </c>
      <c r="D12" t="inlineStr">
        <is>
          <t>USD</t>
        </is>
      </c>
      <c r="E12" t="inlineStr">
        <is>
          <t xml:space="preserve">Application Services </t>
        </is>
      </c>
      <c r="F12" s="81" t="inlineStr">
        <is>
          <t>AS - Overhead</t>
        </is>
      </c>
      <c r="G12" s="81" t="n">
        <v>100239</v>
      </c>
      <c r="H12" t="inlineStr">
        <is>
          <t>Agile Delivery.Manager</t>
        </is>
      </c>
      <c r="I12" t="inlineStr">
        <is>
          <t>$</t>
        </is>
      </c>
      <c r="J12" s="81" t="n">
        <v>189</v>
      </c>
    </row>
    <row r="13">
      <c r="B13">
        <f>Table1[[#This Row],[Cost Center Name]]&amp;Table1[[#This Row],[Job Name]]&amp;" "&amp;"-"&amp;" "&amp;Table1[[#This Row],[Job Code]]</f>
        <v/>
      </c>
      <c r="C13" t="inlineStr">
        <is>
          <t>US</t>
        </is>
      </c>
      <c r="D13" t="inlineStr">
        <is>
          <t>USD</t>
        </is>
      </c>
      <c r="E13" t="inlineStr">
        <is>
          <t xml:space="preserve">Application Services </t>
        </is>
      </c>
      <c r="F13" s="81" t="inlineStr">
        <is>
          <t>AS Agile Billable Group 1</t>
        </is>
      </c>
      <c r="G13" s="81" t="n">
        <v>100009</v>
      </c>
      <c r="H13" t="inlineStr">
        <is>
          <t>Agile Delivery.Business Analyst</t>
        </is>
      </c>
      <c r="I13" t="inlineStr">
        <is>
          <t>$</t>
        </is>
      </c>
      <c r="J13" s="81" t="n">
        <v>139.26</v>
      </c>
    </row>
    <row r="14">
      <c r="B14">
        <f>Table1[[#This Row],[Cost Center Name]]&amp;Table1[[#This Row],[Job Name]]&amp;" "&amp;"-"&amp;" "&amp;Table1[[#This Row],[Job Code]]</f>
        <v/>
      </c>
      <c r="C14" t="inlineStr">
        <is>
          <t>US</t>
        </is>
      </c>
      <c r="D14" t="inlineStr">
        <is>
          <t>USD</t>
        </is>
      </c>
      <c r="E14" t="inlineStr">
        <is>
          <t xml:space="preserve">Application Services </t>
        </is>
      </c>
      <c r="F14" s="81" t="inlineStr">
        <is>
          <t>AS Agile Billable Group 1</t>
        </is>
      </c>
      <c r="G14" s="81" t="n">
        <v>100011</v>
      </c>
      <c r="H14" t="inlineStr">
        <is>
          <t>Agile Delivery.Delivery Lead</t>
        </is>
      </c>
      <c r="I14" t="inlineStr">
        <is>
          <t>$</t>
        </is>
      </c>
      <c r="J14" s="81" t="n">
        <v>175.13</v>
      </c>
    </row>
    <row r="15">
      <c r="B15">
        <f>Table1[[#This Row],[Cost Center Name]]&amp;Table1[[#This Row],[Job Name]]&amp;" "&amp;"-"&amp;" "&amp;Table1[[#This Row],[Job Code]]</f>
        <v/>
      </c>
      <c r="C15" t="inlineStr">
        <is>
          <t>US</t>
        </is>
      </c>
      <c r="D15" t="inlineStr">
        <is>
          <t>USD</t>
        </is>
      </c>
      <c r="E15" t="inlineStr">
        <is>
          <t xml:space="preserve">Application Services </t>
        </is>
      </c>
      <c r="F15" s="81" t="inlineStr">
        <is>
          <t>AS Agile Billable Group 1</t>
        </is>
      </c>
      <c r="G15" s="81" t="n">
        <v>100014</v>
      </c>
      <c r="H15" t="inlineStr">
        <is>
          <t>Agile Delivery.Product Owner</t>
        </is>
      </c>
      <c r="I15" t="inlineStr">
        <is>
          <t>$</t>
        </is>
      </c>
      <c r="J15" s="81" t="n">
        <v>147.7</v>
      </c>
    </row>
    <row r="16">
      <c r="B16">
        <f>Table1[[#This Row],[Cost Center Name]]&amp;Table1[[#This Row],[Job Name]]&amp;" "&amp;"-"&amp;" "&amp;Table1[[#This Row],[Job Code]]</f>
        <v/>
      </c>
      <c r="C16" t="inlineStr">
        <is>
          <t>US</t>
        </is>
      </c>
      <c r="D16" t="inlineStr">
        <is>
          <t>USD</t>
        </is>
      </c>
      <c r="E16" t="inlineStr">
        <is>
          <t xml:space="preserve">Application Services </t>
        </is>
      </c>
      <c r="F16" s="81" t="inlineStr">
        <is>
          <t>AS Agile Billable Group 1</t>
        </is>
      </c>
      <c r="G16" s="81" t="n">
        <v>100015</v>
      </c>
      <c r="H16" t="inlineStr">
        <is>
          <t>Agile Delivery.QA Analyst</t>
        </is>
      </c>
      <c r="I16" t="inlineStr">
        <is>
          <t>$</t>
        </is>
      </c>
      <c r="J16" s="81" t="n">
        <v>120.27</v>
      </c>
    </row>
    <row r="17">
      <c r="B17">
        <f>Table1[[#This Row],[Cost Center Name]]&amp;Table1[[#This Row],[Job Name]]&amp;" "&amp;"-"&amp;" "&amp;Table1[[#This Row],[Job Code]]</f>
        <v/>
      </c>
      <c r="C17" t="inlineStr">
        <is>
          <t>US</t>
        </is>
      </c>
      <c r="D17" t="inlineStr">
        <is>
          <t>USD</t>
        </is>
      </c>
      <c r="E17" t="inlineStr">
        <is>
          <t xml:space="preserve">Application Services </t>
        </is>
      </c>
      <c r="F17" s="81" t="inlineStr">
        <is>
          <t>AS Agile Billable Group 1</t>
        </is>
      </c>
      <c r="G17" s="81" t="n">
        <v>100016</v>
      </c>
      <c r="H17" t="inlineStr">
        <is>
          <t>Agile Delivery.QA Engineer</t>
        </is>
      </c>
      <c r="I17" t="inlineStr">
        <is>
          <t>$</t>
        </is>
      </c>
      <c r="J17" s="81" t="n">
        <v>118.16</v>
      </c>
    </row>
    <row r="18">
      <c r="B18">
        <f>Table1[[#This Row],[Cost Center Name]]&amp;Table1[[#This Row],[Job Name]]&amp;" "&amp;"-"&amp;" "&amp;Table1[[#This Row],[Job Code]]</f>
        <v/>
      </c>
      <c r="C18" t="inlineStr">
        <is>
          <t>US</t>
        </is>
      </c>
      <c r="D18" t="inlineStr">
        <is>
          <t>USD</t>
        </is>
      </c>
      <c r="E18" t="inlineStr">
        <is>
          <t xml:space="preserve">Application Services </t>
        </is>
      </c>
      <c r="F18" s="81" t="inlineStr">
        <is>
          <t>AS Agile Billable Group 1</t>
        </is>
      </c>
      <c r="G18" s="81" t="n">
        <v>100018</v>
      </c>
      <c r="H18" t="inlineStr">
        <is>
          <t>Agile Delivery.Software Engineer</t>
        </is>
      </c>
      <c r="I18" t="inlineStr">
        <is>
          <t>$</t>
        </is>
      </c>
      <c r="J18" s="81" t="n">
        <v>145.59</v>
      </c>
    </row>
    <row r="19">
      <c r="B19">
        <f>Table1[[#This Row],[Cost Center Name]]&amp;Table1[[#This Row],[Job Name]]&amp;" "&amp;"-"&amp;" "&amp;Table1[[#This Row],[Job Code]]</f>
        <v/>
      </c>
      <c r="C19" t="inlineStr">
        <is>
          <t>US</t>
        </is>
      </c>
      <c r="D19" t="inlineStr">
        <is>
          <t>USD</t>
        </is>
      </c>
      <c r="E19" t="inlineStr">
        <is>
          <t xml:space="preserve">Application Services </t>
        </is>
      </c>
      <c r="F19" s="81" t="inlineStr">
        <is>
          <t>AS Agile Billable Group 1</t>
        </is>
      </c>
      <c r="G19" s="81" t="n">
        <v>100021</v>
      </c>
      <c r="H19" t="inlineStr">
        <is>
          <t>Agile Delivery.UX Frontend Engineer</t>
        </is>
      </c>
      <c r="I19" t="inlineStr">
        <is>
          <t>$</t>
        </is>
      </c>
      <c r="J19" s="81" t="n">
        <v>126.6</v>
      </c>
    </row>
    <row r="20">
      <c r="B20">
        <f>Table1[[#This Row],[Cost Center Name]]&amp;Table1[[#This Row],[Job Name]]&amp;" "&amp;"-"&amp;" "&amp;Table1[[#This Row],[Job Code]]</f>
        <v/>
      </c>
      <c r="C20" t="inlineStr">
        <is>
          <t>US</t>
        </is>
      </c>
      <c r="D20" t="inlineStr">
        <is>
          <t>USD</t>
        </is>
      </c>
      <c r="E20" t="inlineStr">
        <is>
          <t xml:space="preserve">Application Services </t>
        </is>
      </c>
      <c r="F20" s="81" t="inlineStr">
        <is>
          <t>AS Agile Billable Group 1</t>
        </is>
      </c>
      <c r="G20" s="81" t="n">
        <v>100062</v>
      </c>
      <c r="H20" t="inlineStr">
        <is>
          <t>Consulting.Delivery Engineer</t>
        </is>
      </c>
      <c r="I20" t="inlineStr">
        <is>
          <t>$</t>
        </is>
      </c>
      <c r="J20" s="81" t="n">
        <v>147.7</v>
      </c>
    </row>
    <row r="21">
      <c r="B21">
        <f>Table1[[#This Row],[Cost Center Name]]&amp;Table1[[#This Row],[Job Name]]&amp;" "&amp;"-"&amp;" "&amp;Table1[[#This Row],[Job Code]]</f>
        <v/>
      </c>
      <c r="C21" t="inlineStr">
        <is>
          <t>US</t>
        </is>
      </c>
      <c r="D21" t="inlineStr">
        <is>
          <t>USD</t>
        </is>
      </c>
      <c r="E21" t="inlineStr">
        <is>
          <t xml:space="preserve">Application Services </t>
        </is>
      </c>
      <c r="F21" s="81" t="inlineStr">
        <is>
          <t>AS Agile Billable Group 1</t>
        </is>
      </c>
      <c r="G21" s="81" t="n">
        <v>100304</v>
      </c>
      <c r="H21" t="inlineStr">
        <is>
          <t>Digital.Sr Creative Consultant</t>
        </is>
      </c>
      <c r="I21" t="inlineStr">
        <is>
          <t>$</t>
        </is>
      </c>
      <c r="J21" s="81" t="n">
        <v>120.27</v>
      </c>
    </row>
    <row r="22">
      <c r="B22">
        <f>Table1[[#This Row],[Cost Center Name]]&amp;Table1[[#This Row],[Job Name]]&amp;" "&amp;"-"&amp;" "&amp;Table1[[#This Row],[Job Code]]</f>
        <v/>
      </c>
      <c r="C22" t="inlineStr">
        <is>
          <t>US</t>
        </is>
      </c>
      <c r="D22" t="inlineStr">
        <is>
          <t>USD</t>
        </is>
      </c>
      <c r="E22" t="inlineStr">
        <is>
          <t xml:space="preserve">Application Services </t>
        </is>
      </c>
      <c r="F22" s="81" t="inlineStr">
        <is>
          <t>AS Agile Billable Group 1</t>
        </is>
      </c>
      <c r="G22" s="81" t="n">
        <v>100309</v>
      </c>
      <c r="H22" t="inlineStr">
        <is>
          <t>Agile Delivery.DeliveryLeader</t>
        </is>
      </c>
      <c r="I22" t="inlineStr">
        <is>
          <t>$</t>
        </is>
      </c>
      <c r="J22" s="81" t="n">
        <v>187.79</v>
      </c>
    </row>
    <row r="23">
      <c r="B23">
        <f>Table1[[#This Row],[Cost Center Name]]&amp;Table1[[#This Row],[Job Name]]&amp;" "&amp;"-"&amp;" "&amp;Table1[[#This Row],[Job Code]]</f>
        <v/>
      </c>
      <c r="C23" t="inlineStr">
        <is>
          <t>US</t>
        </is>
      </c>
      <c r="D23" t="inlineStr">
        <is>
          <t>USD</t>
        </is>
      </c>
      <c r="E23" t="inlineStr">
        <is>
          <t xml:space="preserve">Application Services </t>
        </is>
      </c>
      <c r="F23" s="81" t="inlineStr">
        <is>
          <t>AS Agile Billable Group 2</t>
        </is>
      </c>
      <c r="G23" s="81" t="n">
        <v>100017</v>
      </c>
      <c r="H23" t="inlineStr">
        <is>
          <t>Agile Delivery.Security Engineer</t>
        </is>
      </c>
      <c r="I23" t="inlineStr">
        <is>
          <t>$</t>
        </is>
      </c>
      <c r="J23" s="81" t="n">
        <v>158.6</v>
      </c>
    </row>
    <row r="24">
      <c r="B24">
        <f>Table1[[#This Row],[Cost Center Name]]&amp;Table1[[#This Row],[Job Name]]&amp;" "&amp;"-"&amp;" "&amp;Table1[[#This Row],[Job Code]]</f>
        <v/>
      </c>
      <c r="C24" t="inlineStr">
        <is>
          <t>US</t>
        </is>
      </c>
      <c r="D24" t="inlineStr">
        <is>
          <t>USD</t>
        </is>
      </c>
      <c r="E24" t="inlineStr">
        <is>
          <t xml:space="preserve">Application Services </t>
        </is>
      </c>
      <c r="F24" s="81" t="inlineStr">
        <is>
          <t>AS Agile Billable Group 2</t>
        </is>
      </c>
      <c r="G24" s="81" t="n">
        <v>100018</v>
      </c>
      <c r="H24" t="inlineStr">
        <is>
          <t>Agile Delivery.Software Engineer</t>
        </is>
      </c>
      <c r="I24" t="inlineStr">
        <is>
          <t>$</t>
        </is>
      </c>
      <c r="J24" s="81" t="n">
        <v>168.36</v>
      </c>
    </row>
    <row r="25">
      <c r="B25">
        <f>Table1[[#This Row],[Cost Center Name]]&amp;Table1[[#This Row],[Job Name]]&amp;" "&amp;"-"&amp;" "&amp;Table1[[#This Row],[Job Code]]</f>
        <v/>
      </c>
      <c r="C25" t="inlineStr">
        <is>
          <t>US</t>
        </is>
      </c>
      <c r="D25" t="inlineStr">
        <is>
          <t>USD</t>
        </is>
      </c>
      <c r="E25" t="inlineStr">
        <is>
          <t xml:space="preserve">Application Services </t>
        </is>
      </c>
      <c r="F25" s="81" t="inlineStr">
        <is>
          <t>AS Agile Billable Group 2</t>
        </is>
      </c>
      <c r="G25" s="81" t="n">
        <v>100061</v>
      </c>
      <c r="H25" t="inlineStr">
        <is>
          <t>Consulting.Agile Consultant</t>
        </is>
      </c>
      <c r="I25" t="inlineStr">
        <is>
          <t>$</t>
        </is>
      </c>
      <c r="J25" s="81" t="n">
        <v>236.68</v>
      </c>
    </row>
    <row r="26">
      <c r="B26">
        <f>Table1[[#This Row],[Cost Center Name]]&amp;Table1[[#This Row],[Job Name]]&amp;" "&amp;"-"&amp;" "&amp;Table1[[#This Row],[Job Code]]</f>
        <v/>
      </c>
      <c r="C26" t="inlineStr">
        <is>
          <t>US</t>
        </is>
      </c>
      <c r="D26" t="inlineStr">
        <is>
          <t>USD</t>
        </is>
      </c>
      <c r="E26" t="inlineStr">
        <is>
          <t xml:space="preserve">Application Services </t>
        </is>
      </c>
      <c r="F26" s="81" t="inlineStr">
        <is>
          <t>AS Agile Billable Group 2</t>
        </is>
      </c>
      <c r="G26" s="81" t="n">
        <v>100248</v>
      </c>
      <c r="H26" t="inlineStr">
        <is>
          <t>Agile Delivery.Technical Writer</t>
        </is>
      </c>
      <c r="I26" t="inlineStr">
        <is>
          <t>$</t>
        </is>
      </c>
      <c r="J26" s="81" t="n">
        <v>114.68</v>
      </c>
    </row>
    <row r="27">
      <c r="B27">
        <f>Table1[[#This Row],[Cost Center Name]]&amp;Table1[[#This Row],[Job Name]]&amp;" "&amp;"-"&amp;" "&amp;Table1[[#This Row],[Job Code]]</f>
        <v/>
      </c>
      <c r="C27" t="inlineStr">
        <is>
          <t>US</t>
        </is>
      </c>
      <c r="D27" t="inlineStr">
        <is>
          <t>USD</t>
        </is>
      </c>
      <c r="E27" t="inlineStr">
        <is>
          <t xml:space="preserve">Application Services </t>
        </is>
      </c>
      <c r="F27" s="81" t="inlineStr">
        <is>
          <t>AS Agile Billable Group 2</t>
        </is>
      </c>
      <c r="G27" s="81" t="n">
        <v>100310</v>
      </c>
      <c r="H27" t="inlineStr">
        <is>
          <t>Agile Delivery.DevOps Engineer</t>
        </is>
      </c>
      <c r="I27" t="inlineStr">
        <is>
          <t>$</t>
        </is>
      </c>
      <c r="J27" s="81" t="n">
        <v>180.56</v>
      </c>
    </row>
    <row r="28">
      <c r="B28">
        <f>Table1[[#This Row],[Cost Center Name]]&amp;Table1[[#This Row],[Job Name]]&amp;" "&amp;"-"&amp;" "&amp;Table1[[#This Row],[Job Code]]</f>
        <v/>
      </c>
      <c r="C28" t="inlineStr">
        <is>
          <t>US</t>
        </is>
      </c>
      <c r="D28" t="inlineStr">
        <is>
          <t>USD</t>
        </is>
      </c>
      <c r="E28" t="inlineStr">
        <is>
          <t xml:space="preserve">Application Services </t>
        </is>
      </c>
      <c r="F28" s="81" t="inlineStr">
        <is>
          <t>AS Agile BofA</t>
        </is>
      </c>
      <c r="G28" s="81" t="n">
        <v>100009</v>
      </c>
      <c r="H28" t="inlineStr">
        <is>
          <t>Agile Delivery.Business Analyst</t>
        </is>
      </c>
      <c r="I28" t="inlineStr">
        <is>
          <t>$</t>
        </is>
      </c>
      <c r="J28" s="81" t="n">
        <v>130.68</v>
      </c>
    </row>
    <row r="29">
      <c r="B29">
        <f>Table1[[#This Row],[Cost Center Name]]&amp;Table1[[#This Row],[Job Name]]&amp;" "&amp;"-"&amp;" "&amp;Table1[[#This Row],[Job Code]]</f>
        <v/>
      </c>
      <c r="C29" t="inlineStr">
        <is>
          <t>US</t>
        </is>
      </c>
      <c r="D29" t="inlineStr">
        <is>
          <t>USD</t>
        </is>
      </c>
      <c r="E29" t="inlineStr">
        <is>
          <t xml:space="preserve">Application Services </t>
        </is>
      </c>
      <c r="F29" s="81" t="inlineStr">
        <is>
          <t>AS Agile BofA</t>
        </is>
      </c>
      <c r="G29" s="81" t="n">
        <v>100014</v>
      </c>
      <c r="H29" t="inlineStr">
        <is>
          <t>Agile Delivery.Product Owner</t>
        </is>
      </c>
      <c r="I29" t="inlineStr">
        <is>
          <t>$</t>
        </is>
      </c>
      <c r="J29" s="81" t="n">
        <v>138.6</v>
      </c>
    </row>
    <row r="30">
      <c r="B30">
        <f>Table1[[#This Row],[Cost Center Name]]&amp;Table1[[#This Row],[Job Name]]&amp;" "&amp;"-"&amp;" "&amp;Table1[[#This Row],[Job Code]]</f>
        <v/>
      </c>
      <c r="C30" t="inlineStr">
        <is>
          <t>US</t>
        </is>
      </c>
      <c r="D30" t="inlineStr">
        <is>
          <t>USD</t>
        </is>
      </c>
      <c r="E30" t="inlineStr">
        <is>
          <t xml:space="preserve">Application Services </t>
        </is>
      </c>
      <c r="F30" s="81" t="inlineStr">
        <is>
          <t>AS Agile BofA</t>
        </is>
      </c>
      <c r="G30" s="81" t="n">
        <v>100015</v>
      </c>
      <c r="H30" t="inlineStr">
        <is>
          <t>Agile Delivery.QA Analyst</t>
        </is>
      </c>
      <c r="I30" t="inlineStr">
        <is>
          <t>$</t>
        </is>
      </c>
      <c r="J30" s="81" t="n">
        <v>112.86</v>
      </c>
    </row>
    <row r="31">
      <c r="B31">
        <f>Table1[[#This Row],[Cost Center Name]]&amp;Table1[[#This Row],[Job Name]]&amp;" "&amp;"-"&amp;" "&amp;Table1[[#This Row],[Job Code]]</f>
        <v/>
      </c>
      <c r="C31" t="inlineStr">
        <is>
          <t>US</t>
        </is>
      </c>
      <c r="D31" t="inlineStr">
        <is>
          <t>USD</t>
        </is>
      </c>
      <c r="E31" t="inlineStr">
        <is>
          <t xml:space="preserve">Application Services </t>
        </is>
      </c>
      <c r="F31" s="81" t="inlineStr">
        <is>
          <t>AS Agile BofA</t>
        </is>
      </c>
      <c r="G31" s="81" t="n">
        <v>100016</v>
      </c>
      <c r="H31" t="inlineStr">
        <is>
          <t>Agile Delivery.QA Engineer</t>
        </is>
      </c>
      <c r="I31" t="inlineStr">
        <is>
          <t>$</t>
        </is>
      </c>
      <c r="J31" s="81" t="n">
        <v>110.88</v>
      </c>
    </row>
    <row r="32">
      <c r="B32">
        <f>Table1[[#This Row],[Cost Center Name]]&amp;Table1[[#This Row],[Job Name]]&amp;" "&amp;"-"&amp;" "&amp;Table1[[#This Row],[Job Code]]</f>
        <v/>
      </c>
      <c r="C32" t="inlineStr">
        <is>
          <t>US</t>
        </is>
      </c>
      <c r="D32" t="inlineStr">
        <is>
          <t>USD</t>
        </is>
      </c>
      <c r="E32" t="inlineStr">
        <is>
          <t xml:space="preserve">Application Services </t>
        </is>
      </c>
      <c r="F32" s="81" t="inlineStr">
        <is>
          <t>AS Agile BofA</t>
        </is>
      </c>
      <c r="G32" s="81" t="n">
        <v>100018</v>
      </c>
      <c r="H32" t="inlineStr">
        <is>
          <t>Agile Delivery.Software Engineer</t>
        </is>
      </c>
      <c r="I32" t="inlineStr">
        <is>
          <t>$</t>
        </is>
      </c>
      <c r="J32" s="81" t="n">
        <v>136.62</v>
      </c>
    </row>
    <row r="33">
      <c r="B33">
        <f>Table1[[#This Row],[Cost Center Name]]&amp;Table1[[#This Row],[Job Name]]&amp;" "&amp;"-"&amp;" "&amp;Table1[[#This Row],[Job Code]]</f>
        <v/>
      </c>
      <c r="C33" t="inlineStr">
        <is>
          <t>US</t>
        </is>
      </c>
      <c r="D33" t="inlineStr">
        <is>
          <t>USD</t>
        </is>
      </c>
      <c r="E33" t="inlineStr">
        <is>
          <t xml:space="preserve">Application Services </t>
        </is>
      </c>
      <c r="F33" s="81" t="inlineStr">
        <is>
          <t>AS Agile BofA</t>
        </is>
      </c>
      <c r="G33" s="81" t="n">
        <v>100021</v>
      </c>
      <c r="H33" t="inlineStr">
        <is>
          <t>Agile Delivery.UX Frontend Engineer</t>
        </is>
      </c>
      <c r="I33" t="inlineStr">
        <is>
          <t>$</t>
        </is>
      </c>
      <c r="J33" s="81" t="n">
        <v>118.8</v>
      </c>
    </row>
    <row r="34">
      <c r="B34">
        <f>Table1[[#This Row],[Cost Center Name]]&amp;Table1[[#This Row],[Job Name]]&amp;" "&amp;"-"&amp;" "&amp;Table1[[#This Row],[Job Code]]</f>
        <v/>
      </c>
      <c r="C34" t="inlineStr">
        <is>
          <t>US</t>
        </is>
      </c>
      <c r="D34" t="inlineStr">
        <is>
          <t>USD</t>
        </is>
      </c>
      <c r="E34" t="inlineStr">
        <is>
          <t xml:space="preserve">Application Services </t>
        </is>
      </c>
      <c r="F34" s="81" t="inlineStr">
        <is>
          <t>AS Agile BofA</t>
        </is>
      </c>
      <c r="G34" s="81" t="n">
        <v>100304</v>
      </c>
      <c r="H34" t="inlineStr">
        <is>
          <t>Digital.Sr Creative Consultant</t>
        </is>
      </c>
      <c r="I34" t="inlineStr">
        <is>
          <t>$</t>
        </is>
      </c>
      <c r="J34" s="81" t="n">
        <v>112.86</v>
      </c>
    </row>
    <row r="35">
      <c r="B35">
        <f>Table1[[#This Row],[Cost Center Name]]&amp;Table1[[#This Row],[Job Name]]&amp;" "&amp;"-"&amp;" "&amp;Table1[[#This Row],[Job Code]]</f>
        <v/>
      </c>
      <c r="C35" t="inlineStr">
        <is>
          <t>US</t>
        </is>
      </c>
      <c r="D35" t="inlineStr">
        <is>
          <t>USD</t>
        </is>
      </c>
      <c r="E35" t="inlineStr">
        <is>
          <t xml:space="preserve">Application Services </t>
        </is>
      </c>
      <c r="F35" s="81" t="inlineStr">
        <is>
          <t>AS Agile BofA</t>
        </is>
      </c>
      <c r="G35" s="81" t="n">
        <v>100309</v>
      </c>
      <c r="H35" t="inlineStr">
        <is>
          <t>Agile Delivery.DeliveryLeader</t>
        </is>
      </c>
      <c r="I35" t="inlineStr">
        <is>
          <t>$</t>
        </is>
      </c>
      <c r="J35" s="81" t="n">
        <v>176.22</v>
      </c>
    </row>
    <row r="36">
      <c r="B36">
        <f>Table1[[#This Row],[Cost Center Name]]&amp;Table1[[#This Row],[Job Name]]&amp;" "&amp;"-"&amp;" "&amp;Table1[[#This Row],[Job Code]]</f>
        <v/>
      </c>
      <c r="C36" t="inlineStr">
        <is>
          <t>US</t>
        </is>
      </c>
      <c r="D36" t="inlineStr">
        <is>
          <t>USD</t>
        </is>
      </c>
      <c r="E36" t="inlineStr">
        <is>
          <t xml:space="preserve">Application Services </t>
        </is>
      </c>
      <c r="F36" s="81" t="inlineStr">
        <is>
          <t>AS Agile BofA</t>
        </is>
      </c>
      <c r="G36" s="81" t="n">
        <v>100310</v>
      </c>
      <c r="H36" t="inlineStr">
        <is>
          <t>Agile Delivery.DevOps Engineer</t>
        </is>
      </c>
      <c r="I36" t="inlineStr">
        <is>
          <t>$</t>
        </is>
      </c>
      <c r="J36" s="81" t="n">
        <v>146.52</v>
      </c>
    </row>
    <row r="37">
      <c r="B37">
        <f>Table1[[#This Row],[Cost Center Name]]&amp;Table1[[#This Row],[Job Name]]&amp;" "&amp;"-"&amp;" "&amp;Table1[[#This Row],[Job Code]]</f>
        <v/>
      </c>
      <c r="C37" t="inlineStr">
        <is>
          <t>US</t>
        </is>
      </c>
      <c r="D37" t="inlineStr">
        <is>
          <t>USD</t>
        </is>
      </c>
      <c r="E37" t="inlineStr">
        <is>
          <t xml:space="preserve">Application Services </t>
        </is>
      </c>
      <c r="F37" s="81" t="inlineStr">
        <is>
          <t>AS Agile BW 80pct</t>
        </is>
      </c>
      <c r="G37" s="81" t="n">
        <v>100015</v>
      </c>
      <c r="H37" t="inlineStr">
        <is>
          <t>Agile Delivery.QA Analyst</t>
        </is>
      </c>
      <c r="I37" t="inlineStr">
        <is>
          <t>$</t>
        </is>
      </c>
      <c r="J37" s="81" t="n">
        <v>105.45</v>
      </c>
    </row>
    <row r="38">
      <c r="B38">
        <f>Table1[[#This Row],[Cost Center Name]]&amp;Table1[[#This Row],[Job Name]]&amp;" "&amp;"-"&amp;" "&amp;Table1[[#This Row],[Job Code]]</f>
        <v/>
      </c>
      <c r="C38" t="inlineStr">
        <is>
          <t>US</t>
        </is>
      </c>
      <c r="D38" t="inlineStr">
        <is>
          <t>USD</t>
        </is>
      </c>
      <c r="E38" t="inlineStr">
        <is>
          <t xml:space="preserve">Application Services </t>
        </is>
      </c>
      <c r="F38" s="81" t="inlineStr">
        <is>
          <t>AS Agile BW 80pct</t>
        </is>
      </c>
      <c r="G38" s="81" t="n">
        <v>100018</v>
      </c>
      <c r="H38" t="inlineStr">
        <is>
          <t>Agile Delivery.Software Engineer</t>
        </is>
      </c>
      <c r="I38" t="inlineStr">
        <is>
          <t>$</t>
        </is>
      </c>
      <c r="J38" s="81" t="n">
        <v>127.65</v>
      </c>
    </row>
    <row r="39">
      <c r="B39">
        <f>Table1[[#This Row],[Cost Center Name]]&amp;Table1[[#This Row],[Job Name]]&amp;" "&amp;"-"&amp;" "&amp;Table1[[#This Row],[Job Code]]</f>
        <v/>
      </c>
      <c r="C39" t="inlineStr">
        <is>
          <t>US</t>
        </is>
      </c>
      <c r="D39" t="inlineStr">
        <is>
          <t>USD</t>
        </is>
      </c>
      <c r="E39" t="inlineStr">
        <is>
          <t xml:space="preserve">Application Services </t>
        </is>
      </c>
      <c r="F39" s="81" t="inlineStr">
        <is>
          <t>AS Agile BW 80pct</t>
        </is>
      </c>
      <c r="G39" s="81" t="n">
        <v>100310</v>
      </c>
      <c r="H39" t="inlineStr">
        <is>
          <t>Agile Delivery.DevOps Engineer</t>
        </is>
      </c>
      <c r="I39" t="inlineStr">
        <is>
          <t>$</t>
        </is>
      </c>
      <c r="J39" s="81" t="n">
        <v>136.9</v>
      </c>
    </row>
    <row r="40">
      <c r="B40">
        <f>Table1[[#This Row],[Cost Center Name]]&amp;Table1[[#This Row],[Job Name]]&amp;" "&amp;"-"&amp;" "&amp;Table1[[#This Row],[Job Code]]</f>
        <v/>
      </c>
      <c r="C40" t="inlineStr">
        <is>
          <t>US</t>
        </is>
      </c>
      <c r="D40" t="inlineStr">
        <is>
          <t>USD</t>
        </is>
      </c>
      <c r="E40" t="inlineStr">
        <is>
          <t xml:space="preserve">Application Services </t>
        </is>
      </c>
      <c r="F40" s="81" t="inlineStr">
        <is>
          <t>AS Agile EDJ 75pct</t>
        </is>
      </c>
      <c r="G40" s="81" t="n">
        <v>100010</v>
      </c>
      <c r="H40" t="inlineStr">
        <is>
          <t>Agile Delivery.Coach</t>
        </is>
      </c>
      <c r="I40" t="inlineStr">
        <is>
          <t>$</t>
        </is>
      </c>
      <c r="J40" s="81" t="n">
        <v>172.26</v>
      </c>
    </row>
    <row r="41">
      <c r="B41">
        <f>Table1[[#This Row],[Cost Center Name]]&amp;Table1[[#This Row],[Job Name]]&amp;" "&amp;"-"&amp;" "&amp;Table1[[#This Row],[Job Code]]</f>
        <v/>
      </c>
      <c r="C41" t="inlineStr">
        <is>
          <t>US</t>
        </is>
      </c>
      <c r="D41" t="inlineStr">
        <is>
          <t>USD</t>
        </is>
      </c>
      <c r="E41" t="inlineStr">
        <is>
          <t xml:space="preserve">Application Services </t>
        </is>
      </c>
      <c r="F41" s="81" t="inlineStr">
        <is>
          <t>AS Agile EDJ 75pct</t>
        </is>
      </c>
      <c r="G41" s="81" t="n">
        <v>100014</v>
      </c>
      <c r="H41" t="inlineStr">
        <is>
          <t>Agile Delivery.Product Owner</t>
        </is>
      </c>
      <c r="I41" t="inlineStr">
        <is>
          <t>$</t>
        </is>
      </c>
      <c r="J41" s="81" t="n">
        <v>138.6</v>
      </c>
    </row>
    <row r="42">
      <c r="B42">
        <f>Table1[[#This Row],[Cost Center Name]]&amp;Table1[[#This Row],[Job Name]]&amp;" "&amp;"-"&amp;" "&amp;Table1[[#This Row],[Job Code]]</f>
        <v/>
      </c>
      <c r="C42" t="inlineStr">
        <is>
          <t>US</t>
        </is>
      </c>
      <c r="D42" t="inlineStr">
        <is>
          <t>USD</t>
        </is>
      </c>
      <c r="E42" t="inlineStr">
        <is>
          <t xml:space="preserve">Application Services </t>
        </is>
      </c>
      <c r="F42" s="81" t="inlineStr">
        <is>
          <t>AS Agile EDJ 75pct</t>
        </is>
      </c>
      <c r="G42" s="81" t="n">
        <v>100016</v>
      </c>
      <c r="H42" t="inlineStr">
        <is>
          <t>Agile Delivery.QA Engineer</t>
        </is>
      </c>
      <c r="I42" t="inlineStr">
        <is>
          <t>$</t>
        </is>
      </c>
      <c r="J42" s="81" t="n">
        <v>110.88</v>
      </c>
    </row>
    <row r="43">
      <c r="B43">
        <f>Table1[[#This Row],[Cost Center Name]]&amp;Table1[[#This Row],[Job Name]]&amp;" "&amp;"-"&amp;" "&amp;Table1[[#This Row],[Job Code]]</f>
        <v/>
      </c>
      <c r="C43" t="inlineStr">
        <is>
          <t>US</t>
        </is>
      </c>
      <c r="D43" t="inlineStr">
        <is>
          <t>USD</t>
        </is>
      </c>
      <c r="E43" t="inlineStr">
        <is>
          <t xml:space="preserve">Application Services </t>
        </is>
      </c>
      <c r="F43" s="81" t="inlineStr">
        <is>
          <t>AS Agile EDJ 75pct</t>
        </is>
      </c>
      <c r="G43" s="81" t="n">
        <v>100018</v>
      </c>
      <c r="H43" t="inlineStr">
        <is>
          <t>Agile Delivery.Software Engineer</t>
        </is>
      </c>
      <c r="I43" t="inlineStr">
        <is>
          <t>$</t>
        </is>
      </c>
      <c r="J43" s="81" t="n">
        <v>136.62</v>
      </c>
    </row>
    <row r="44">
      <c r="B44">
        <f>Table1[[#This Row],[Cost Center Name]]&amp;Table1[[#This Row],[Job Name]]&amp;" "&amp;"-"&amp;" "&amp;Table1[[#This Row],[Job Code]]</f>
        <v/>
      </c>
      <c r="C44" t="inlineStr">
        <is>
          <t>US</t>
        </is>
      </c>
      <c r="D44" t="inlineStr">
        <is>
          <t>USD</t>
        </is>
      </c>
      <c r="E44" t="inlineStr">
        <is>
          <t xml:space="preserve">Application Services </t>
        </is>
      </c>
      <c r="F44" s="81" t="inlineStr">
        <is>
          <t>AS Agile EHI</t>
        </is>
      </c>
      <c r="G44" s="81" t="n">
        <v>100009</v>
      </c>
      <c r="H44" t="inlineStr">
        <is>
          <t>Agile Delivery.Business Analyst</t>
        </is>
      </c>
      <c r="I44" t="inlineStr">
        <is>
          <t>$</t>
        </is>
      </c>
      <c r="J44" s="81" t="n">
        <v>122.1</v>
      </c>
    </row>
    <row r="45">
      <c r="B45">
        <f>Table1[[#This Row],[Cost Center Name]]&amp;Table1[[#This Row],[Job Name]]&amp;" "&amp;"-"&amp;" "&amp;Table1[[#This Row],[Job Code]]</f>
        <v/>
      </c>
      <c r="C45" t="inlineStr">
        <is>
          <t>US</t>
        </is>
      </c>
      <c r="D45" t="inlineStr">
        <is>
          <t>USD</t>
        </is>
      </c>
      <c r="E45" t="inlineStr">
        <is>
          <t xml:space="preserve">Application Services </t>
        </is>
      </c>
      <c r="F45" s="81" t="inlineStr">
        <is>
          <t>AS Agile EHI</t>
        </is>
      </c>
      <c r="G45" s="81" t="n">
        <v>100266</v>
      </c>
      <c r="H45" t="inlineStr">
        <is>
          <t>Digital.Creative Consultant</t>
        </is>
      </c>
      <c r="I45" t="inlineStr">
        <is>
          <t>$</t>
        </is>
      </c>
      <c r="J45" s="81" t="n">
        <v>75.84999999999999</v>
      </c>
    </row>
    <row r="46">
      <c r="B46">
        <f>Table1[[#This Row],[Cost Center Name]]&amp;Table1[[#This Row],[Job Name]]&amp;" "&amp;"-"&amp;" "&amp;Table1[[#This Row],[Job Code]]</f>
        <v/>
      </c>
      <c r="C46" t="inlineStr">
        <is>
          <t>US</t>
        </is>
      </c>
      <c r="D46" t="inlineStr">
        <is>
          <t>USD</t>
        </is>
      </c>
      <c r="E46" t="inlineStr">
        <is>
          <t xml:space="preserve">Application Services </t>
        </is>
      </c>
      <c r="F46" s="81" t="inlineStr">
        <is>
          <t>AS Agile EPIC</t>
        </is>
      </c>
      <c r="G46" s="81" t="n">
        <v>100014</v>
      </c>
      <c r="H46" t="inlineStr">
        <is>
          <t>Agile Delivery.Product Owner</t>
        </is>
      </c>
      <c r="I46" t="inlineStr">
        <is>
          <t>$</t>
        </is>
      </c>
      <c r="J46" s="81" t="n">
        <v>138.6</v>
      </c>
    </row>
    <row r="47">
      <c r="B47">
        <f>Table1[[#This Row],[Cost Center Name]]&amp;Table1[[#This Row],[Job Name]]&amp;" "&amp;"-"&amp;" "&amp;Table1[[#This Row],[Job Code]]</f>
        <v/>
      </c>
      <c r="C47" t="inlineStr">
        <is>
          <t>US</t>
        </is>
      </c>
      <c r="D47" t="inlineStr">
        <is>
          <t>USD</t>
        </is>
      </c>
      <c r="E47" t="inlineStr">
        <is>
          <t xml:space="preserve">Application Services </t>
        </is>
      </c>
      <c r="F47" s="81" t="inlineStr">
        <is>
          <t>AS Agile EPIC</t>
        </is>
      </c>
      <c r="G47" s="81" t="n">
        <v>100016</v>
      </c>
      <c r="H47" t="inlineStr">
        <is>
          <t>Agile Delivery.QA Engineer</t>
        </is>
      </c>
      <c r="I47" t="inlineStr">
        <is>
          <t>$</t>
        </is>
      </c>
      <c r="J47" s="81" t="n">
        <v>110.88</v>
      </c>
    </row>
    <row r="48">
      <c r="B48">
        <f>Table1[[#This Row],[Cost Center Name]]&amp;Table1[[#This Row],[Job Name]]&amp;" "&amp;"-"&amp;" "&amp;Table1[[#This Row],[Job Code]]</f>
        <v/>
      </c>
      <c r="C48" t="inlineStr">
        <is>
          <t>US</t>
        </is>
      </c>
      <c r="D48" t="inlineStr">
        <is>
          <t>USD</t>
        </is>
      </c>
      <c r="E48" t="inlineStr">
        <is>
          <t xml:space="preserve">Application Services </t>
        </is>
      </c>
      <c r="F48" s="81" t="inlineStr">
        <is>
          <t>AS Agile EPIC</t>
        </is>
      </c>
      <c r="G48" s="81" t="n">
        <v>100018</v>
      </c>
      <c r="H48" t="inlineStr">
        <is>
          <t>Agile Delivery.Software Engineer</t>
        </is>
      </c>
      <c r="I48" t="inlineStr">
        <is>
          <t>$</t>
        </is>
      </c>
      <c r="J48" s="81" t="n">
        <v>136.62</v>
      </c>
    </row>
    <row r="49">
      <c r="B49">
        <f>Table1[[#This Row],[Cost Center Name]]&amp;Table1[[#This Row],[Job Name]]&amp;" "&amp;"-"&amp;" "&amp;Table1[[#This Row],[Job Code]]</f>
        <v/>
      </c>
      <c r="C49" t="inlineStr">
        <is>
          <t>US</t>
        </is>
      </c>
      <c r="D49" t="inlineStr">
        <is>
          <t>USD</t>
        </is>
      </c>
      <c r="E49" t="inlineStr">
        <is>
          <t xml:space="preserve">Application Services </t>
        </is>
      </c>
      <c r="F49" s="81" t="inlineStr">
        <is>
          <t>AS Agile EPIC</t>
        </is>
      </c>
      <c r="G49" s="81" t="n">
        <v>100021</v>
      </c>
      <c r="H49" t="inlineStr">
        <is>
          <t>Agile Delivery.UX Frontend Engineer</t>
        </is>
      </c>
      <c r="I49" t="inlineStr">
        <is>
          <t>$</t>
        </is>
      </c>
      <c r="J49" s="81" t="n">
        <v>118.8</v>
      </c>
    </row>
    <row r="50">
      <c r="B50">
        <f>Table1[[#This Row],[Cost Center Name]]&amp;Table1[[#This Row],[Job Name]]&amp;" "&amp;"-"&amp;" "&amp;Table1[[#This Row],[Job Code]]</f>
        <v/>
      </c>
      <c r="C50" t="inlineStr">
        <is>
          <t>US</t>
        </is>
      </c>
      <c r="D50" t="inlineStr">
        <is>
          <t>USD</t>
        </is>
      </c>
      <c r="E50" t="inlineStr">
        <is>
          <t xml:space="preserve">Application Services </t>
        </is>
      </c>
      <c r="F50" s="81" t="inlineStr">
        <is>
          <t>AS Agile EPIC</t>
        </is>
      </c>
      <c r="G50" s="81" t="n">
        <v>100266</v>
      </c>
      <c r="H50" t="inlineStr">
        <is>
          <t>Digital.Creative Consultant</t>
        </is>
      </c>
      <c r="I50" t="inlineStr">
        <is>
          <t>$</t>
        </is>
      </c>
      <c r="J50" s="81" t="n">
        <v>81.18000000000001</v>
      </c>
    </row>
    <row r="51">
      <c r="B51">
        <f>Table1[[#This Row],[Cost Center Name]]&amp;Table1[[#This Row],[Job Name]]&amp;" "&amp;"-"&amp;" "&amp;Table1[[#This Row],[Job Code]]</f>
        <v/>
      </c>
      <c r="C51" t="inlineStr">
        <is>
          <t>US</t>
        </is>
      </c>
      <c r="D51" t="inlineStr">
        <is>
          <t>USD</t>
        </is>
      </c>
      <c r="E51" t="inlineStr">
        <is>
          <t xml:space="preserve">Application Services </t>
        </is>
      </c>
      <c r="F51" s="81" t="inlineStr">
        <is>
          <t>AS Agile EPIC</t>
        </is>
      </c>
      <c r="G51" s="81" t="n">
        <v>100309</v>
      </c>
      <c r="H51" t="inlineStr">
        <is>
          <t>Agile Delivery.DeliveryLeader</t>
        </is>
      </c>
      <c r="I51" t="inlineStr">
        <is>
          <t>$</t>
        </is>
      </c>
      <c r="J51" s="81" t="n">
        <v>176.22</v>
      </c>
    </row>
    <row r="52">
      <c r="B52">
        <f>Table1[[#This Row],[Cost Center Name]]&amp;Table1[[#This Row],[Job Name]]&amp;" "&amp;"-"&amp;" "&amp;Table1[[#This Row],[Job Code]]</f>
        <v/>
      </c>
      <c r="C52" t="inlineStr">
        <is>
          <t>US</t>
        </is>
      </c>
      <c r="D52" t="inlineStr">
        <is>
          <t>USD</t>
        </is>
      </c>
      <c r="E52" t="inlineStr">
        <is>
          <t xml:space="preserve">Application Services </t>
        </is>
      </c>
      <c r="F52" s="81" t="inlineStr">
        <is>
          <t>AS Agile HNB 80pct</t>
        </is>
      </c>
      <c r="G52" s="81" t="n">
        <v>100015</v>
      </c>
      <c r="H52" t="inlineStr">
        <is>
          <t>Agile Delivery.QA Analyst</t>
        </is>
      </c>
      <c r="I52" t="inlineStr">
        <is>
          <t>$</t>
        </is>
      </c>
      <c r="J52" s="81" t="n">
        <v>105.45</v>
      </c>
    </row>
    <row r="53">
      <c r="B53">
        <f>Table1[[#This Row],[Cost Center Name]]&amp;Table1[[#This Row],[Job Name]]&amp;" "&amp;"-"&amp;" "&amp;Table1[[#This Row],[Job Code]]</f>
        <v/>
      </c>
      <c r="C53" t="inlineStr">
        <is>
          <t>US</t>
        </is>
      </c>
      <c r="D53" t="inlineStr">
        <is>
          <t>USD</t>
        </is>
      </c>
      <c r="E53" t="inlineStr">
        <is>
          <t xml:space="preserve">Application Services </t>
        </is>
      </c>
      <c r="F53" s="81" t="inlineStr">
        <is>
          <t>AS Agile HNB 80pct</t>
        </is>
      </c>
      <c r="G53" s="81" t="n">
        <v>100016</v>
      </c>
      <c r="H53" t="inlineStr">
        <is>
          <t>Agile Delivery.QA Engineer</t>
        </is>
      </c>
      <c r="I53" t="inlineStr">
        <is>
          <t>$</t>
        </is>
      </c>
      <c r="J53" s="81" t="n">
        <v>103.6</v>
      </c>
    </row>
    <row r="54">
      <c r="B54">
        <f>Table1[[#This Row],[Cost Center Name]]&amp;Table1[[#This Row],[Job Name]]&amp;" "&amp;"-"&amp;" "&amp;Table1[[#This Row],[Job Code]]</f>
        <v/>
      </c>
      <c r="C54" t="inlineStr">
        <is>
          <t>US</t>
        </is>
      </c>
      <c r="D54" t="inlineStr">
        <is>
          <t>USD</t>
        </is>
      </c>
      <c r="E54" t="inlineStr">
        <is>
          <t xml:space="preserve">Application Services </t>
        </is>
      </c>
      <c r="F54" s="81" t="inlineStr">
        <is>
          <t>AS Agile HNB 80pct</t>
        </is>
      </c>
      <c r="G54" s="81" t="n">
        <v>100018</v>
      </c>
      <c r="H54" t="inlineStr">
        <is>
          <t>Agile Delivery.Software Engineer</t>
        </is>
      </c>
      <c r="I54" t="inlineStr">
        <is>
          <t>$</t>
        </is>
      </c>
      <c r="J54" s="81" t="n">
        <v>127.65</v>
      </c>
    </row>
    <row r="55">
      <c r="B55">
        <f>Table1[[#This Row],[Cost Center Name]]&amp;Table1[[#This Row],[Job Name]]&amp;" "&amp;"-"&amp;" "&amp;Table1[[#This Row],[Job Code]]</f>
        <v/>
      </c>
      <c r="C55" t="inlineStr">
        <is>
          <t>US</t>
        </is>
      </c>
      <c r="D55" t="inlineStr">
        <is>
          <t>USD</t>
        </is>
      </c>
      <c r="E55" t="inlineStr">
        <is>
          <t xml:space="preserve">Application Services </t>
        </is>
      </c>
      <c r="F55" s="81" t="inlineStr">
        <is>
          <t>AS Agile JM 80pct</t>
        </is>
      </c>
      <c r="G55" s="81" t="n">
        <v>100014</v>
      </c>
      <c r="H55" t="inlineStr">
        <is>
          <t>Agile Delivery.Product Owner</t>
        </is>
      </c>
      <c r="I55" t="inlineStr">
        <is>
          <t>$</t>
        </is>
      </c>
      <c r="J55" s="81" t="n">
        <v>138.6</v>
      </c>
    </row>
    <row r="56">
      <c r="B56">
        <f>Table1[[#This Row],[Cost Center Name]]&amp;Table1[[#This Row],[Job Name]]&amp;" "&amp;"-"&amp;" "&amp;Table1[[#This Row],[Job Code]]</f>
        <v/>
      </c>
      <c r="C56" t="inlineStr">
        <is>
          <t>US</t>
        </is>
      </c>
      <c r="D56" t="inlineStr">
        <is>
          <t>USD</t>
        </is>
      </c>
      <c r="E56" t="inlineStr">
        <is>
          <t xml:space="preserve">Application Services </t>
        </is>
      </c>
      <c r="F56" s="81" t="inlineStr">
        <is>
          <t>AS Agile JM 80pct</t>
        </is>
      </c>
      <c r="G56" s="81" t="n">
        <v>100016</v>
      </c>
      <c r="H56" t="inlineStr">
        <is>
          <t>Agile Delivery.QA Engineer</t>
        </is>
      </c>
      <c r="I56" t="inlineStr">
        <is>
          <t>$</t>
        </is>
      </c>
      <c r="J56" s="81" t="n">
        <v>110.88</v>
      </c>
    </row>
    <row r="57">
      <c r="B57">
        <f>Table1[[#This Row],[Cost Center Name]]&amp;Table1[[#This Row],[Job Name]]&amp;" "&amp;"-"&amp;" "&amp;Table1[[#This Row],[Job Code]]</f>
        <v/>
      </c>
      <c r="C57" t="inlineStr">
        <is>
          <t>US</t>
        </is>
      </c>
      <c r="D57" t="inlineStr">
        <is>
          <t>USD</t>
        </is>
      </c>
      <c r="E57" t="inlineStr">
        <is>
          <t xml:space="preserve">Application Services </t>
        </is>
      </c>
      <c r="F57" s="81" t="inlineStr">
        <is>
          <t>AS Agile JM 80pct</t>
        </is>
      </c>
      <c r="G57" s="81" t="n">
        <v>100018</v>
      </c>
      <c r="H57" t="inlineStr">
        <is>
          <t>Agile Delivery.Software Engineer</t>
        </is>
      </c>
      <c r="I57" t="inlineStr">
        <is>
          <t>$</t>
        </is>
      </c>
      <c r="J57" s="81" t="n">
        <v>136.62</v>
      </c>
    </row>
    <row r="58">
      <c r="B58">
        <f>Table1[[#This Row],[Cost Center Name]]&amp;Table1[[#This Row],[Job Name]]&amp;" "&amp;"-"&amp;" "&amp;Table1[[#This Row],[Job Code]]</f>
        <v/>
      </c>
      <c r="C58" t="inlineStr">
        <is>
          <t>US</t>
        </is>
      </c>
      <c r="D58" t="inlineStr">
        <is>
          <t>USD</t>
        </is>
      </c>
      <c r="E58" t="inlineStr">
        <is>
          <t xml:space="preserve">Application Services </t>
        </is>
      </c>
      <c r="F58" s="81" t="inlineStr">
        <is>
          <t>AS Agile JM 80pct</t>
        </is>
      </c>
      <c r="G58" s="81" t="n">
        <v>100309</v>
      </c>
      <c r="H58" t="inlineStr">
        <is>
          <t>Agile Delivery.DeliveryLeader</t>
        </is>
      </c>
      <c r="I58" t="inlineStr">
        <is>
          <t>$</t>
        </is>
      </c>
      <c r="J58" s="81" t="n">
        <v>176.22</v>
      </c>
    </row>
    <row r="59">
      <c r="B59">
        <f>Table1[[#This Row],[Cost Center Name]]&amp;Table1[[#This Row],[Job Name]]&amp;" "&amp;"-"&amp;" "&amp;Table1[[#This Row],[Job Code]]</f>
        <v/>
      </c>
      <c r="C59" t="inlineStr">
        <is>
          <t>US</t>
        </is>
      </c>
      <c r="D59" t="inlineStr">
        <is>
          <t>USD</t>
        </is>
      </c>
      <c r="E59" t="inlineStr">
        <is>
          <t xml:space="preserve">Application Services </t>
        </is>
      </c>
      <c r="F59" s="81" t="inlineStr">
        <is>
          <t>AS Agile Kingdom Capital</t>
        </is>
      </c>
      <c r="G59" s="81" t="n">
        <v>100018</v>
      </c>
      <c r="H59" t="inlineStr">
        <is>
          <t>Agile Delivery.Software Engineer</t>
        </is>
      </c>
      <c r="I59" t="inlineStr">
        <is>
          <t>$</t>
        </is>
      </c>
      <c r="J59" s="81" t="n">
        <v>127.65</v>
      </c>
    </row>
    <row r="60">
      <c r="B60">
        <f>Table1[[#This Row],[Cost Center Name]]&amp;Table1[[#This Row],[Job Name]]&amp;" "&amp;"-"&amp;" "&amp;Table1[[#This Row],[Job Code]]</f>
        <v/>
      </c>
      <c r="C60" t="inlineStr">
        <is>
          <t>US</t>
        </is>
      </c>
      <c r="D60" t="inlineStr">
        <is>
          <t>USD</t>
        </is>
      </c>
      <c r="E60" t="inlineStr">
        <is>
          <t xml:space="preserve">Application Services </t>
        </is>
      </c>
      <c r="F60" s="81" t="inlineStr">
        <is>
          <t>AS Agile Kingdom Capital</t>
        </is>
      </c>
      <c r="G60" s="81" t="n">
        <v>100310</v>
      </c>
      <c r="H60" t="inlineStr">
        <is>
          <t>Agile Delivery.DevOps Engineer</t>
        </is>
      </c>
      <c r="I60" t="inlineStr">
        <is>
          <t>$</t>
        </is>
      </c>
      <c r="J60" s="81" t="n">
        <v>136.9</v>
      </c>
    </row>
    <row r="61">
      <c r="B61">
        <f>Table1[[#This Row],[Cost Center Name]]&amp;Table1[[#This Row],[Job Name]]&amp;" "&amp;"-"&amp;" "&amp;Table1[[#This Row],[Job Code]]</f>
        <v/>
      </c>
      <c r="C61" t="inlineStr">
        <is>
          <t>US</t>
        </is>
      </c>
      <c r="D61" t="inlineStr">
        <is>
          <t>USD</t>
        </is>
      </c>
      <c r="E61" t="inlineStr">
        <is>
          <t xml:space="preserve">Application Services </t>
        </is>
      </c>
      <c r="F61" s="81" t="inlineStr">
        <is>
          <t>AS Agile MS DOE</t>
        </is>
      </c>
      <c r="G61" s="81" t="n">
        <v>100018</v>
      </c>
      <c r="H61" t="inlineStr">
        <is>
          <t>Agile Delivery.Software Engineer</t>
        </is>
      </c>
      <c r="I61" t="inlineStr">
        <is>
          <t>$</t>
        </is>
      </c>
      <c r="J61" s="81" t="n">
        <v>127.65</v>
      </c>
    </row>
    <row r="62">
      <c r="B62">
        <f>Table1[[#This Row],[Cost Center Name]]&amp;Table1[[#This Row],[Job Name]]&amp;" "&amp;"-"&amp;" "&amp;Table1[[#This Row],[Job Code]]</f>
        <v/>
      </c>
      <c r="C62" t="inlineStr">
        <is>
          <t>US</t>
        </is>
      </c>
      <c r="D62" t="inlineStr">
        <is>
          <t>USD</t>
        </is>
      </c>
      <c r="E62" t="inlineStr">
        <is>
          <t xml:space="preserve">Application Services </t>
        </is>
      </c>
      <c r="F62" s="81" t="inlineStr">
        <is>
          <t>AS Agile MS DOE</t>
        </is>
      </c>
      <c r="G62" s="81" t="n">
        <v>100266</v>
      </c>
      <c r="H62" t="inlineStr">
        <is>
          <t>Digital.Creative Consultant</t>
        </is>
      </c>
      <c r="I62" t="inlineStr">
        <is>
          <t>$</t>
        </is>
      </c>
      <c r="J62" s="81" t="n">
        <v>75.84999999999999</v>
      </c>
    </row>
    <row r="63">
      <c r="B63">
        <f>Table1[[#This Row],[Cost Center Name]]&amp;Table1[[#This Row],[Job Name]]&amp;" "&amp;"-"&amp;" "&amp;Table1[[#This Row],[Job Code]]</f>
        <v/>
      </c>
      <c r="C63" t="inlineStr">
        <is>
          <t>US</t>
        </is>
      </c>
      <c r="D63" t="inlineStr">
        <is>
          <t>USD</t>
        </is>
      </c>
      <c r="E63" t="inlineStr">
        <is>
          <t xml:space="preserve">Application Services </t>
        </is>
      </c>
      <c r="F63" s="81" t="inlineStr">
        <is>
          <t>AS Agile MS DOE</t>
        </is>
      </c>
      <c r="G63" s="81" t="n">
        <v>100309</v>
      </c>
      <c r="H63" t="inlineStr">
        <is>
          <t>Agile Delivery.DeliveryLeader</t>
        </is>
      </c>
      <c r="I63" t="inlineStr">
        <is>
          <t>$</t>
        </is>
      </c>
      <c r="J63" s="81" t="n">
        <v>164.65</v>
      </c>
    </row>
    <row r="64">
      <c r="B64">
        <f>Table1[[#This Row],[Cost Center Name]]&amp;Table1[[#This Row],[Job Name]]&amp;" "&amp;"-"&amp;" "&amp;Table1[[#This Row],[Job Code]]</f>
        <v/>
      </c>
      <c r="C64" t="inlineStr">
        <is>
          <t>US</t>
        </is>
      </c>
      <c r="D64" t="inlineStr">
        <is>
          <t>USD</t>
        </is>
      </c>
      <c r="E64" t="inlineStr">
        <is>
          <t xml:space="preserve">Application Services </t>
        </is>
      </c>
      <c r="F64" s="81" t="inlineStr">
        <is>
          <t>AS Agile MS DOE</t>
        </is>
      </c>
      <c r="G64" s="81" t="n">
        <v>100310</v>
      </c>
      <c r="H64" t="inlineStr">
        <is>
          <t>Agile Delivery.DevOps Engineer</t>
        </is>
      </c>
      <c r="I64" t="inlineStr">
        <is>
          <t>$</t>
        </is>
      </c>
      <c r="J64" s="81" t="n">
        <v>136.9</v>
      </c>
    </row>
    <row r="65">
      <c r="B65">
        <f>Table1[[#This Row],[Cost Center Name]]&amp;Table1[[#This Row],[Job Name]]&amp;" "&amp;"-"&amp;" "&amp;Table1[[#This Row],[Job Code]]</f>
        <v/>
      </c>
      <c r="C65" t="inlineStr">
        <is>
          <t>US</t>
        </is>
      </c>
      <c r="D65" t="inlineStr">
        <is>
          <t>USD</t>
        </is>
      </c>
      <c r="E65" t="inlineStr">
        <is>
          <t xml:space="preserve">Application Services </t>
        </is>
      </c>
      <c r="F65" s="81" t="inlineStr">
        <is>
          <t>AS Agile Schnucks 80pct</t>
        </is>
      </c>
      <c r="G65" s="81" t="n">
        <v>100016</v>
      </c>
      <c r="H65" t="inlineStr">
        <is>
          <t>Agile Delivery.QA Engineer</t>
        </is>
      </c>
      <c r="I65" t="inlineStr">
        <is>
          <t>$</t>
        </is>
      </c>
      <c r="J65" s="81" t="n">
        <v>103.6</v>
      </c>
    </row>
    <row r="66">
      <c r="B66">
        <f>Table1[[#This Row],[Cost Center Name]]&amp;Table1[[#This Row],[Job Name]]&amp;" "&amp;"-"&amp;" "&amp;Table1[[#This Row],[Job Code]]</f>
        <v/>
      </c>
      <c r="C66" t="inlineStr">
        <is>
          <t>US</t>
        </is>
      </c>
      <c r="D66" t="inlineStr">
        <is>
          <t>USD</t>
        </is>
      </c>
      <c r="E66" t="inlineStr">
        <is>
          <t xml:space="preserve">Application Services </t>
        </is>
      </c>
      <c r="F66" s="81" t="inlineStr">
        <is>
          <t>AS Agile Schnucks 80pct</t>
        </is>
      </c>
      <c r="G66" s="81" t="n">
        <v>100018</v>
      </c>
      <c r="H66" t="inlineStr">
        <is>
          <t>Agile Delivery.Software Engineer</t>
        </is>
      </c>
      <c r="I66" t="inlineStr">
        <is>
          <t>$</t>
        </is>
      </c>
      <c r="J66" s="81" t="n">
        <v>127.65</v>
      </c>
    </row>
    <row r="67">
      <c r="B67">
        <f>Table1[[#This Row],[Cost Center Name]]&amp;Table1[[#This Row],[Job Name]]&amp;" "&amp;"-"&amp;" "&amp;Table1[[#This Row],[Job Code]]</f>
        <v/>
      </c>
      <c r="C67" t="inlineStr">
        <is>
          <t>US</t>
        </is>
      </c>
      <c r="D67" t="inlineStr">
        <is>
          <t>USD</t>
        </is>
      </c>
      <c r="E67" t="inlineStr">
        <is>
          <t xml:space="preserve">Application Services </t>
        </is>
      </c>
      <c r="F67" s="81" t="inlineStr">
        <is>
          <t>AS Agile Stifel</t>
        </is>
      </c>
      <c r="G67" s="81" t="n">
        <v>100016</v>
      </c>
      <c r="H67" t="inlineStr">
        <is>
          <t>Agile Delivery.QA Engineer</t>
        </is>
      </c>
      <c r="I67" t="inlineStr">
        <is>
          <t>$</t>
        </is>
      </c>
      <c r="J67" s="81" t="n">
        <v>110.88</v>
      </c>
    </row>
    <row r="68">
      <c r="B68">
        <f>Table1[[#This Row],[Cost Center Name]]&amp;Table1[[#This Row],[Job Name]]&amp;" "&amp;"-"&amp;" "&amp;Table1[[#This Row],[Job Code]]</f>
        <v/>
      </c>
      <c r="C68" t="inlineStr">
        <is>
          <t>US</t>
        </is>
      </c>
      <c r="D68" t="inlineStr">
        <is>
          <t>USD</t>
        </is>
      </c>
      <c r="E68" t="inlineStr">
        <is>
          <t xml:space="preserve">Application Services </t>
        </is>
      </c>
      <c r="F68" s="81" t="inlineStr">
        <is>
          <t>AS Agile Stifel</t>
        </is>
      </c>
      <c r="G68" s="81" t="n">
        <v>100018</v>
      </c>
      <c r="H68" t="inlineStr">
        <is>
          <t>Agile Delivery.Software Engineer</t>
        </is>
      </c>
      <c r="I68" t="inlineStr">
        <is>
          <t>$</t>
        </is>
      </c>
      <c r="J68" s="81" t="n">
        <v>136.62</v>
      </c>
    </row>
    <row r="69">
      <c r="B69">
        <f>Table1[[#This Row],[Cost Center Name]]&amp;Table1[[#This Row],[Job Name]]&amp;" "&amp;"-"&amp;" "&amp;Table1[[#This Row],[Job Code]]</f>
        <v/>
      </c>
      <c r="C69" t="inlineStr">
        <is>
          <t>US</t>
        </is>
      </c>
      <c r="D69" t="inlineStr">
        <is>
          <t>USD</t>
        </is>
      </c>
      <c r="E69" t="inlineStr">
        <is>
          <t xml:space="preserve">Application Services </t>
        </is>
      </c>
      <c r="F69" s="81" t="inlineStr">
        <is>
          <t>AS Agile Stifel</t>
        </is>
      </c>
      <c r="G69" s="81" t="n">
        <v>100304</v>
      </c>
      <c r="H69" t="inlineStr">
        <is>
          <t>Digital.Sr Creative Consultant</t>
        </is>
      </c>
      <c r="I69" t="inlineStr">
        <is>
          <t>$</t>
        </is>
      </c>
      <c r="J69" s="81" t="n">
        <v>112.86</v>
      </c>
    </row>
    <row r="70">
      <c r="B70">
        <f>Table1[[#This Row],[Cost Center Name]]&amp;Table1[[#This Row],[Job Name]]&amp;" "&amp;"-"&amp;" "&amp;Table1[[#This Row],[Job Code]]</f>
        <v/>
      </c>
      <c r="C70" t="inlineStr">
        <is>
          <t>US</t>
        </is>
      </c>
      <c r="D70" t="inlineStr">
        <is>
          <t>USD</t>
        </is>
      </c>
      <c r="E70" t="inlineStr">
        <is>
          <t xml:space="preserve">Application Services </t>
        </is>
      </c>
      <c r="F70" s="81" t="inlineStr">
        <is>
          <t>AS Agile Wingstop 80pct</t>
        </is>
      </c>
      <c r="G70" s="81" t="n">
        <v>100009</v>
      </c>
      <c r="H70" t="inlineStr">
        <is>
          <t>Agile Delivery.Business Analyst</t>
        </is>
      </c>
      <c r="I70" t="inlineStr">
        <is>
          <t>$</t>
        </is>
      </c>
      <c r="J70" s="81" t="n">
        <v>122.1</v>
      </c>
    </row>
    <row r="71">
      <c r="B71">
        <f>Table1[[#This Row],[Cost Center Name]]&amp;Table1[[#This Row],[Job Name]]&amp;" "&amp;"-"&amp;" "&amp;Table1[[#This Row],[Job Code]]</f>
        <v/>
      </c>
      <c r="C71" t="inlineStr">
        <is>
          <t>US</t>
        </is>
      </c>
      <c r="D71" t="inlineStr">
        <is>
          <t>USD</t>
        </is>
      </c>
      <c r="E71" t="inlineStr">
        <is>
          <t xml:space="preserve">Application Services </t>
        </is>
      </c>
      <c r="F71" s="81" t="inlineStr">
        <is>
          <t>AS Agile Wingstop 80pct</t>
        </is>
      </c>
      <c r="G71" s="81" t="n">
        <v>100014</v>
      </c>
      <c r="H71" t="inlineStr">
        <is>
          <t>Agile Delivery.Product Owner</t>
        </is>
      </c>
      <c r="I71" t="inlineStr">
        <is>
          <t>$</t>
        </is>
      </c>
      <c r="J71" s="81" t="n">
        <v>129.5</v>
      </c>
    </row>
    <row r="72">
      <c r="B72">
        <f>Table1[[#This Row],[Cost Center Name]]&amp;Table1[[#This Row],[Job Name]]&amp;" "&amp;"-"&amp;" "&amp;Table1[[#This Row],[Job Code]]</f>
        <v/>
      </c>
      <c r="C72" t="inlineStr">
        <is>
          <t>US</t>
        </is>
      </c>
      <c r="D72" t="inlineStr">
        <is>
          <t>USD</t>
        </is>
      </c>
      <c r="E72" t="inlineStr">
        <is>
          <t xml:space="preserve">Application Services </t>
        </is>
      </c>
      <c r="F72" s="81" t="inlineStr">
        <is>
          <t>AS Agile Wingstop 80pct</t>
        </is>
      </c>
      <c r="G72" s="81" t="n">
        <v>100015</v>
      </c>
      <c r="H72" t="inlineStr">
        <is>
          <t>Agile Delivery.QA Analyst</t>
        </is>
      </c>
      <c r="I72" t="inlineStr">
        <is>
          <t>$</t>
        </is>
      </c>
      <c r="J72" s="81" t="n">
        <v>105.45</v>
      </c>
    </row>
    <row r="73">
      <c r="B73">
        <f>Table1[[#This Row],[Cost Center Name]]&amp;Table1[[#This Row],[Job Name]]&amp;" "&amp;"-"&amp;" "&amp;Table1[[#This Row],[Job Code]]</f>
        <v/>
      </c>
      <c r="C73" t="inlineStr">
        <is>
          <t>US</t>
        </is>
      </c>
      <c r="D73" t="inlineStr">
        <is>
          <t>USD</t>
        </is>
      </c>
      <c r="E73" t="inlineStr">
        <is>
          <t xml:space="preserve">Application Services </t>
        </is>
      </c>
      <c r="F73" s="81" t="inlineStr">
        <is>
          <t>AS Agile Wingstop 80pct</t>
        </is>
      </c>
      <c r="G73" s="81" t="n">
        <v>100016</v>
      </c>
      <c r="H73" t="inlineStr">
        <is>
          <t>Agile Delivery.QA Engineer</t>
        </is>
      </c>
      <c r="I73" t="inlineStr">
        <is>
          <t>$</t>
        </is>
      </c>
      <c r="J73" s="81" t="n">
        <v>103.6</v>
      </c>
    </row>
    <row r="74">
      <c r="B74">
        <f>Table1[[#This Row],[Cost Center Name]]&amp;Table1[[#This Row],[Job Name]]&amp;" "&amp;"-"&amp;" "&amp;Table1[[#This Row],[Job Code]]</f>
        <v/>
      </c>
      <c r="C74" t="inlineStr">
        <is>
          <t>US</t>
        </is>
      </c>
      <c r="D74" t="inlineStr">
        <is>
          <t>USD</t>
        </is>
      </c>
      <c r="E74" t="inlineStr">
        <is>
          <t xml:space="preserve">Application Services </t>
        </is>
      </c>
      <c r="F74" s="81" t="inlineStr">
        <is>
          <t>AS Agile Wingstop 80pct</t>
        </is>
      </c>
      <c r="G74" s="81" t="n">
        <v>100018</v>
      </c>
      <c r="H74" t="inlineStr">
        <is>
          <t>Agile Delivery.Software Engineer</t>
        </is>
      </c>
      <c r="I74" t="inlineStr">
        <is>
          <t>$</t>
        </is>
      </c>
      <c r="J74" s="81" t="n">
        <v>127.65</v>
      </c>
    </row>
    <row r="75">
      <c r="B75">
        <f>Table1[[#This Row],[Cost Center Name]]&amp;Table1[[#This Row],[Job Name]]&amp;" "&amp;"-"&amp;" "&amp;Table1[[#This Row],[Job Code]]</f>
        <v/>
      </c>
      <c r="C75" t="inlineStr">
        <is>
          <t>US</t>
        </is>
      </c>
      <c r="D75" t="inlineStr">
        <is>
          <t>USD</t>
        </is>
      </c>
      <c r="E75" t="inlineStr">
        <is>
          <t xml:space="preserve">Application Services </t>
        </is>
      </c>
      <c r="F75" s="81" t="inlineStr">
        <is>
          <t>AS Agile Wingstop 80pct</t>
        </is>
      </c>
      <c r="G75" s="81" t="n">
        <v>100309</v>
      </c>
      <c r="H75" t="inlineStr">
        <is>
          <t>Agile Delivery.DeliveryLeader</t>
        </is>
      </c>
      <c r="I75" t="inlineStr">
        <is>
          <t>$</t>
        </is>
      </c>
      <c r="J75" s="81" t="n">
        <v>164.65</v>
      </c>
    </row>
    <row r="76">
      <c r="B76">
        <f>Table1[[#This Row],[Cost Center Name]]&amp;Table1[[#This Row],[Job Name]]&amp;" "&amp;"-"&amp;" "&amp;Table1[[#This Row],[Job Code]]</f>
        <v/>
      </c>
      <c r="C76" t="inlineStr">
        <is>
          <t>US</t>
        </is>
      </c>
      <c r="D76" t="inlineStr">
        <is>
          <t>USD</t>
        </is>
      </c>
      <c r="E76" t="inlineStr">
        <is>
          <t xml:space="preserve">Application Services </t>
        </is>
      </c>
      <c r="F76" s="81" t="inlineStr">
        <is>
          <t>AS Consulting AKUSA 80pct</t>
        </is>
      </c>
      <c r="G76" s="81" t="n">
        <v>100014</v>
      </c>
      <c r="H76" t="inlineStr">
        <is>
          <t>Agile Delivery.Product Owner</t>
        </is>
      </c>
      <c r="I76" t="inlineStr">
        <is>
          <t>$</t>
        </is>
      </c>
      <c r="J76" s="81" t="n">
        <v>129.5</v>
      </c>
    </row>
    <row r="77">
      <c r="B77">
        <f>Table1[[#This Row],[Cost Center Name]]&amp;Table1[[#This Row],[Job Name]]&amp;" "&amp;"-"&amp;" "&amp;Table1[[#This Row],[Job Code]]</f>
        <v/>
      </c>
      <c r="C77" t="inlineStr">
        <is>
          <t>US</t>
        </is>
      </c>
      <c r="D77" t="inlineStr">
        <is>
          <t>USD</t>
        </is>
      </c>
      <c r="E77" t="inlineStr">
        <is>
          <t xml:space="preserve">Application Services </t>
        </is>
      </c>
      <c r="F77" s="81" t="inlineStr">
        <is>
          <t>AS Overhead Allocated</t>
        </is>
      </c>
      <c r="G77" s="81" t="n">
        <v>100162</v>
      </c>
      <c r="H77" t="inlineStr">
        <is>
          <t>Software.Director</t>
        </is>
      </c>
      <c r="I77" t="inlineStr">
        <is>
          <t>$</t>
        </is>
      </c>
      <c r="J77" s="81" t="n">
        <v>213.75</v>
      </c>
    </row>
    <row r="78">
      <c r="B78">
        <f>Table1[[#This Row],[Cost Center Name]]&amp;Table1[[#This Row],[Job Name]]&amp;" "&amp;"-"&amp;" "&amp;Table1[[#This Row],[Job Code]]</f>
        <v/>
      </c>
      <c r="C78" t="inlineStr">
        <is>
          <t>US</t>
        </is>
      </c>
      <c r="D78" t="inlineStr">
        <is>
          <t>USD</t>
        </is>
      </c>
      <c r="E78" t="inlineStr">
        <is>
          <t xml:space="preserve">Application Services </t>
        </is>
      </c>
      <c r="F78" s="81" t="inlineStr">
        <is>
          <t>AS Overhead Allocated</t>
        </is>
      </c>
      <c r="G78" s="81" t="n">
        <v>100164</v>
      </c>
      <c r="H78" t="inlineStr">
        <is>
          <t>Software.Solution Consultant</t>
        </is>
      </c>
      <c r="I78" t="inlineStr">
        <is>
          <t>$</t>
        </is>
      </c>
      <c r="J78" s="81" t="n">
        <v>180</v>
      </c>
    </row>
    <row r="79">
      <c r="B79">
        <f>Table1[[#This Row],[Cost Center Name]]&amp;Table1[[#This Row],[Job Name]]&amp;" "&amp;"-"&amp;" "&amp;Table1[[#This Row],[Job Code]]</f>
        <v/>
      </c>
      <c r="C79" t="inlineStr">
        <is>
          <t>US</t>
        </is>
      </c>
      <c r="D79" t="inlineStr">
        <is>
          <t>USD</t>
        </is>
      </c>
      <c r="E79" t="inlineStr">
        <is>
          <t xml:space="preserve">Application Services </t>
        </is>
      </c>
      <c r="F79" s="81" t="inlineStr">
        <is>
          <t>AS Overhead Allocated</t>
        </is>
      </c>
      <c r="G79" s="81" t="n">
        <v>100165</v>
      </c>
      <c r="H79" t="inlineStr">
        <is>
          <t>Software.Staff</t>
        </is>
      </c>
      <c r="I79" t="inlineStr">
        <is>
          <t>$</t>
        </is>
      </c>
      <c r="J79" s="81" t="n">
        <v>87.75</v>
      </c>
    </row>
    <row r="80">
      <c r="B80">
        <f>Table1[[#This Row],[Cost Center Name]]&amp;Table1[[#This Row],[Job Name]]&amp;" "&amp;"-"&amp;" "&amp;Table1[[#This Row],[Job Code]]</f>
        <v/>
      </c>
      <c r="C80" t="inlineStr">
        <is>
          <t>US</t>
        </is>
      </c>
      <c r="D80" t="inlineStr">
        <is>
          <t>USD</t>
        </is>
      </c>
      <c r="E80" t="inlineStr">
        <is>
          <t xml:space="preserve">Consulting Services </t>
        </is>
      </c>
      <c r="F80" s="81" t="inlineStr">
        <is>
          <t>CS Automation</t>
        </is>
      </c>
      <c r="G80" s="81" t="n">
        <v>100284</v>
      </c>
      <c r="H80" t="inlineStr">
        <is>
          <t>Automation.Consultant</t>
        </is>
      </c>
      <c r="I80" t="inlineStr">
        <is>
          <t>$</t>
        </is>
      </c>
      <c r="J80" s="81" t="n">
        <v>212.85</v>
      </c>
    </row>
    <row r="81">
      <c r="B81">
        <f>Table1[[#This Row],[Cost Center Name]]&amp;Table1[[#This Row],[Job Name]]&amp;" "&amp;"-"&amp;" "&amp;Table1[[#This Row],[Job Code]]</f>
        <v/>
      </c>
      <c r="C81" t="inlineStr">
        <is>
          <t>US</t>
        </is>
      </c>
      <c r="D81" t="inlineStr">
        <is>
          <t>USD</t>
        </is>
      </c>
      <c r="E81" t="inlineStr">
        <is>
          <t xml:space="preserve">Consulting Services </t>
        </is>
      </c>
      <c r="F81" s="81" t="inlineStr">
        <is>
          <t>CS BAA Business Development</t>
        </is>
      </c>
      <c r="G81" s="81" t="n">
        <v>100030</v>
      </c>
      <c r="H81" t="inlineStr">
        <is>
          <t>BAA.Analyst</t>
        </is>
      </c>
      <c r="I81" t="inlineStr">
        <is>
          <t>$</t>
        </is>
      </c>
      <c r="J81" s="81" t="n">
        <v>101</v>
      </c>
    </row>
    <row r="82">
      <c r="B82">
        <f>Table1[[#This Row],[Cost Center Name]]&amp;Table1[[#This Row],[Job Name]]&amp;" "&amp;"-"&amp;" "&amp;Table1[[#This Row],[Job Code]]</f>
        <v/>
      </c>
      <c r="C82" t="inlineStr">
        <is>
          <t>US</t>
        </is>
      </c>
      <c r="D82" t="inlineStr">
        <is>
          <t>USD</t>
        </is>
      </c>
      <c r="E82" t="inlineStr">
        <is>
          <t xml:space="preserve">Consulting Services </t>
        </is>
      </c>
      <c r="F82" s="81" t="inlineStr">
        <is>
          <t>CS BAA Business Development</t>
        </is>
      </c>
      <c r="G82" s="81" t="n">
        <v>100031</v>
      </c>
      <c r="H82" t="inlineStr">
        <is>
          <t>BAA.Consultant</t>
        </is>
      </c>
      <c r="I82" t="inlineStr">
        <is>
          <t>$</t>
        </is>
      </c>
      <c r="J82" s="81" t="n">
        <v>135.34</v>
      </c>
    </row>
    <row r="83">
      <c r="B83">
        <f>Table1[[#This Row],[Cost Center Name]]&amp;Table1[[#This Row],[Job Name]]&amp;" "&amp;"-"&amp;" "&amp;Table1[[#This Row],[Job Code]]</f>
        <v/>
      </c>
      <c r="C83" t="inlineStr">
        <is>
          <t>US</t>
        </is>
      </c>
      <c r="D83" t="inlineStr">
        <is>
          <t>USD</t>
        </is>
      </c>
      <c r="E83" t="inlineStr">
        <is>
          <t xml:space="preserve">Consulting Services </t>
        </is>
      </c>
      <c r="F83" s="81" t="inlineStr">
        <is>
          <t>CS BAA Business Development</t>
        </is>
      </c>
      <c r="G83" s="81" t="n">
        <v>100035</v>
      </c>
      <c r="H83" t="inlineStr">
        <is>
          <t>BAA.Managing Director</t>
        </is>
      </c>
      <c r="I83" t="inlineStr">
        <is>
          <t>$</t>
        </is>
      </c>
      <c r="J83" s="81" t="n">
        <v>280.78</v>
      </c>
    </row>
    <row r="84">
      <c r="B84">
        <f>Table1[[#This Row],[Cost Center Name]]&amp;Table1[[#This Row],[Job Name]]&amp;" "&amp;"-"&amp;" "&amp;Table1[[#This Row],[Job Code]]</f>
        <v/>
      </c>
      <c r="C84" t="inlineStr">
        <is>
          <t>US</t>
        </is>
      </c>
      <c r="D84" t="inlineStr">
        <is>
          <t>USD</t>
        </is>
      </c>
      <c r="E84" t="inlineStr">
        <is>
          <t xml:space="preserve">Consulting Services </t>
        </is>
      </c>
      <c r="F84" s="81" t="inlineStr">
        <is>
          <t>CS BAA Business Development</t>
        </is>
      </c>
      <c r="G84" s="81" t="n">
        <v>100262</v>
      </c>
      <c r="H84" t="inlineStr">
        <is>
          <t>Automation.Architect</t>
        </is>
      </c>
      <c r="I84" t="inlineStr">
        <is>
          <t>$</t>
        </is>
      </c>
      <c r="J84" s="81" t="n">
        <v>181.8</v>
      </c>
    </row>
    <row r="85">
      <c r="B85">
        <f>Table1[[#This Row],[Cost Center Name]]&amp;Table1[[#This Row],[Job Name]]&amp;" "&amp;"-"&amp;" "&amp;Table1[[#This Row],[Job Code]]</f>
        <v/>
      </c>
      <c r="C85" t="inlineStr">
        <is>
          <t>US</t>
        </is>
      </c>
      <c r="D85" t="inlineStr">
        <is>
          <t>USD</t>
        </is>
      </c>
      <c r="E85" t="inlineStr">
        <is>
          <t xml:space="preserve">Consulting Services </t>
        </is>
      </c>
      <c r="F85" s="81" t="inlineStr">
        <is>
          <t>CS BAA Business Development</t>
        </is>
      </c>
      <c r="G85" s="81" t="n">
        <v>100284</v>
      </c>
      <c r="H85" t="inlineStr">
        <is>
          <t>Automation.Consultant</t>
        </is>
      </c>
      <c r="I85" t="inlineStr">
        <is>
          <t>$</t>
        </is>
      </c>
      <c r="J85" s="81" t="n">
        <v>199.98</v>
      </c>
    </row>
    <row r="86">
      <c r="B86">
        <f>Table1[[#This Row],[Cost Center Name]]&amp;Table1[[#This Row],[Job Name]]&amp;" "&amp;"-"&amp;" "&amp;Table1[[#This Row],[Job Code]]</f>
        <v/>
      </c>
      <c r="C86" t="inlineStr">
        <is>
          <t>US</t>
        </is>
      </c>
      <c r="D86" t="inlineStr">
        <is>
          <t>USD</t>
        </is>
      </c>
      <c r="E86" t="inlineStr">
        <is>
          <t xml:space="preserve">Consulting Services </t>
        </is>
      </c>
      <c r="F86" s="81" t="inlineStr">
        <is>
          <t>CS BAA Consultants</t>
        </is>
      </c>
      <c r="G86" s="81" t="n">
        <v>100030</v>
      </c>
      <c r="H86" t="inlineStr">
        <is>
          <t>BAA.Analyst</t>
        </is>
      </c>
      <c r="I86" t="inlineStr">
        <is>
          <t>$</t>
        </is>
      </c>
      <c r="J86" s="81" t="n">
        <v>105</v>
      </c>
    </row>
    <row r="87">
      <c r="B87">
        <f>Table1[[#This Row],[Cost Center Name]]&amp;Table1[[#This Row],[Job Name]]&amp;" "&amp;"-"&amp;" "&amp;Table1[[#This Row],[Job Code]]</f>
        <v/>
      </c>
      <c r="C87" t="inlineStr">
        <is>
          <t>US</t>
        </is>
      </c>
      <c r="D87" t="inlineStr">
        <is>
          <t>USD</t>
        </is>
      </c>
      <c r="E87" t="inlineStr">
        <is>
          <t xml:space="preserve">Consulting Services </t>
        </is>
      </c>
      <c r="F87" s="81" t="inlineStr">
        <is>
          <t>CS BAA Consultants</t>
        </is>
      </c>
      <c r="G87" s="81" t="n">
        <v>100031</v>
      </c>
      <c r="H87" t="inlineStr">
        <is>
          <t>BAA.Consultant</t>
        </is>
      </c>
      <c r="I87" t="inlineStr">
        <is>
          <t>$</t>
        </is>
      </c>
      <c r="J87" s="81" t="n">
        <v>140.7</v>
      </c>
    </row>
    <row r="88">
      <c r="B88">
        <f>Table1[[#This Row],[Cost Center Name]]&amp;Table1[[#This Row],[Job Name]]&amp;" "&amp;"-"&amp;" "&amp;Table1[[#This Row],[Job Code]]</f>
        <v/>
      </c>
      <c r="C88" t="inlineStr">
        <is>
          <t>US</t>
        </is>
      </c>
      <c r="D88" t="inlineStr">
        <is>
          <t>USD</t>
        </is>
      </c>
      <c r="E88" t="inlineStr">
        <is>
          <t xml:space="preserve">Consulting Services </t>
        </is>
      </c>
      <c r="F88" s="81" t="inlineStr">
        <is>
          <t>CS BAA Consultants</t>
        </is>
      </c>
      <c r="G88" s="81" t="n">
        <v>100032</v>
      </c>
      <c r="H88" t="inlineStr">
        <is>
          <t>BAA.Data Scientist</t>
        </is>
      </c>
      <c r="I88" t="inlineStr">
        <is>
          <t>$</t>
        </is>
      </c>
      <c r="J88" s="81" t="n">
        <v>134.4</v>
      </c>
    </row>
    <row r="89">
      <c r="B89">
        <f>Table1[[#This Row],[Cost Center Name]]&amp;Table1[[#This Row],[Job Name]]&amp;" "&amp;"-"&amp;" "&amp;Table1[[#This Row],[Job Code]]</f>
        <v/>
      </c>
      <c r="C89" t="inlineStr">
        <is>
          <t>US</t>
        </is>
      </c>
      <c r="D89" t="inlineStr">
        <is>
          <t>USD</t>
        </is>
      </c>
      <c r="E89" t="inlineStr">
        <is>
          <t xml:space="preserve">Consulting Services </t>
        </is>
      </c>
      <c r="F89" s="81" t="inlineStr">
        <is>
          <t>CS BAA Consultants</t>
        </is>
      </c>
      <c r="G89" s="81" t="n">
        <v>100033</v>
      </c>
      <c r="H89" t="inlineStr">
        <is>
          <t>BAA.Engagement Manager</t>
        </is>
      </c>
      <c r="I89" t="inlineStr">
        <is>
          <t>$</t>
        </is>
      </c>
      <c r="J89" s="81" t="n">
        <v>205.8</v>
      </c>
    </row>
    <row r="90">
      <c r="B90">
        <f>Table1[[#This Row],[Cost Center Name]]&amp;Table1[[#This Row],[Job Name]]&amp;" "&amp;"-"&amp;" "&amp;Table1[[#This Row],[Job Code]]</f>
        <v/>
      </c>
      <c r="C90" t="inlineStr">
        <is>
          <t>US</t>
        </is>
      </c>
      <c r="D90" t="inlineStr">
        <is>
          <t>USD</t>
        </is>
      </c>
      <c r="E90" t="inlineStr">
        <is>
          <t xml:space="preserve">Consulting Services </t>
        </is>
      </c>
      <c r="F90" s="81" t="inlineStr">
        <is>
          <t>CS BAA Engagement Mgt</t>
        </is>
      </c>
      <c r="G90" s="81" t="n">
        <v>100033</v>
      </c>
      <c r="H90" t="inlineStr">
        <is>
          <t>BAA.Engagement Manager</t>
        </is>
      </c>
      <c r="I90" t="inlineStr">
        <is>
          <t>$</t>
        </is>
      </c>
      <c r="J90" s="81" t="n">
        <v>208.74</v>
      </c>
    </row>
    <row r="91">
      <c r="B91">
        <f>Table1[[#This Row],[Cost Center Name]]&amp;Table1[[#This Row],[Job Name]]&amp;" "&amp;"-"&amp;" "&amp;Table1[[#This Row],[Job Code]]</f>
        <v/>
      </c>
      <c r="C91" t="inlineStr">
        <is>
          <t>US</t>
        </is>
      </c>
      <c r="D91" t="inlineStr">
        <is>
          <t>USD</t>
        </is>
      </c>
      <c r="E91" t="inlineStr">
        <is>
          <t xml:space="preserve">Consulting Services </t>
        </is>
      </c>
      <c r="F91" s="81" t="inlineStr">
        <is>
          <t>CS BAA Engagement Mgt</t>
        </is>
      </c>
      <c r="G91" s="81" t="n">
        <v>100281</v>
      </c>
      <c r="H91" t="inlineStr">
        <is>
          <t>CS.Technical Delivery</t>
        </is>
      </c>
      <c r="I91" t="inlineStr">
        <is>
          <t>$</t>
        </is>
      </c>
      <c r="J91" s="81" t="n">
        <v>185.31</v>
      </c>
    </row>
    <row r="92">
      <c r="B92">
        <f>Table1[[#This Row],[Cost Center Name]]&amp;Table1[[#This Row],[Job Name]]&amp;" "&amp;"-"&amp;" "&amp;Table1[[#This Row],[Job Code]]</f>
        <v/>
      </c>
      <c r="C92" t="inlineStr">
        <is>
          <t>US</t>
        </is>
      </c>
      <c r="D92" t="inlineStr">
        <is>
          <t>USD</t>
        </is>
      </c>
      <c r="E92" t="inlineStr">
        <is>
          <t xml:space="preserve">Consulting Services </t>
        </is>
      </c>
      <c r="F92" s="81" t="inlineStr">
        <is>
          <t>CS BAA Overhead</t>
        </is>
      </c>
      <c r="G92" s="81" t="n">
        <v>100035</v>
      </c>
      <c r="H92" t="inlineStr">
        <is>
          <t>BAA.Managing Director</t>
        </is>
      </c>
      <c r="I92" t="inlineStr">
        <is>
          <t>$</t>
        </is>
      </c>
      <c r="J92" s="81" t="n">
        <v>312.75</v>
      </c>
    </row>
    <row r="93">
      <c r="B93">
        <f>Table1[[#This Row],[Cost Center Name]]&amp;Table1[[#This Row],[Job Name]]&amp;" "&amp;"-"&amp;" "&amp;Table1[[#This Row],[Job Code]]</f>
        <v/>
      </c>
      <c r="C93" t="inlineStr">
        <is>
          <t>US</t>
        </is>
      </c>
      <c r="D93" t="inlineStr">
        <is>
          <t>USD</t>
        </is>
      </c>
      <c r="E93" t="inlineStr">
        <is>
          <t xml:space="preserve">Consulting Services </t>
        </is>
      </c>
      <c r="F93" s="81" t="inlineStr">
        <is>
          <t>CS BAA Overhead</t>
        </is>
      </c>
      <c r="G93" s="81" t="n">
        <v>100073</v>
      </c>
      <c r="H93" t="inlineStr">
        <is>
          <t>CS Overhead.Management</t>
        </is>
      </c>
      <c r="I93" t="inlineStr">
        <is>
          <t>$</t>
        </is>
      </c>
      <c r="J93" s="81" t="n">
        <v>299.25</v>
      </c>
    </row>
    <row r="94">
      <c r="B94">
        <f>Table1[[#This Row],[Cost Center Name]]&amp;Table1[[#This Row],[Job Name]]&amp;" "&amp;"-"&amp;" "&amp;Table1[[#This Row],[Job Code]]</f>
        <v/>
      </c>
      <c r="C94" t="inlineStr">
        <is>
          <t>US</t>
        </is>
      </c>
      <c r="D94" t="inlineStr">
        <is>
          <t>USD</t>
        </is>
      </c>
      <c r="E94" t="inlineStr">
        <is>
          <t xml:space="preserve">Consulting Services </t>
        </is>
      </c>
      <c r="F94" s="81" t="inlineStr">
        <is>
          <t>CS BAA Technical</t>
        </is>
      </c>
      <c r="G94" s="81" t="n">
        <v>100034</v>
      </c>
      <c r="H94" t="inlineStr">
        <is>
          <t>BAA.Engineer</t>
        </is>
      </c>
      <c r="I94" t="inlineStr">
        <is>
          <t>$</t>
        </is>
      </c>
      <c r="J94" s="81" t="n">
        <v>150</v>
      </c>
    </row>
    <row r="95">
      <c r="B95">
        <f>Table1[[#This Row],[Cost Center Name]]&amp;Table1[[#This Row],[Job Name]]&amp;" "&amp;"-"&amp;" "&amp;Table1[[#This Row],[Job Code]]</f>
        <v/>
      </c>
      <c r="C95" t="inlineStr">
        <is>
          <t>US</t>
        </is>
      </c>
      <c r="D95" t="inlineStr">
        <is>
          <t>USD</t>
        </is>
      </c>
      <c r="E95" t="inlineStr">
        <is>
          <t xml:space="preserve">Consulting Services </t>
        </is>
      </c>
      <c r="F95" s="81" t="inlineStr">
        <is>
          <t>CS BAA Technical</t>
        </is>
      </c>
      <c r="G95" s="81" t="n">
        <v>100036</v>
      </c>
      <c r="H95" t="inlineStr">
        <is>
          <t>BAA.Sr Engineer</t>
        </is>
      </c>
      <c r="I95" t="inlineStr">
        <is>
          <t>$</t>
        </is>
      </c>
      <c r="J95" s="81" t="n">
        <v>254</v>
      </c>
    </row>
    <row r="96">
      <c r="B96">
        <f>Table1[[#This Row],[Cost Center Name]]&amp;Table1[[#This Row],[Job Name]]&amp;" "&amp;"-"&amp;" "&amp;Table1[[#This Row],[Job Code]]</f>
        <v/>
      </c>
      <c r="C96" t="inlineStr">
        <is>
          <t>US</t>
        </is>
      </c>
      <c r="D96" t="inlineStr">
        <is>
          <t>USD</t>
        </is>
      </c>
      <c r="E96" t="inlineStr">
        <is>
          <t xml:space="preserve">Consulting Services </t>
        </is>
      </c>
      <c r="F96" s="81" t="inlineStr">
        <is>
          <t>CS Cloud Dedicated</t>
        </is>
      </c>
      <c r="G96" s="81" t="n">
        <v>100274</v>
      </c>
      <c r="H96" t="inlineStr">
        <is>
          <t>Cloud.Associate Engineer</t>
        </is>
      </c>
      <c r="I96" t="inlineStr">
        <is>
          <t>$</t>
        </is>
      </c>
      <c r="J96" s="81" t="n">
        <v>100.17</v>
      </c>
    </row>
    <row r="97">
      <c r="B97">
        <f>Table1[[#This Row],[Cost Center Name]]&amp;Table1[[#This Row],[Job Name]]&amp;" "&amp;"-"&amp;" "&amp;Table1[[#This Row],[Job Code]]</f>
        <v/>
      </c>
      <c r="C97" t="inlineStr">
        <is>
          <t>US</t>
        </is>
      </c>
      <c r="D97" t="inlineStr">
        <is>
          <t>USD</t>
        </is>
      </c>
      <c r="E97" t="inlineStr">
        <is>
          <t xml:space="preserve">Consulting Services </t>
        </is>
      </c>
      <c r="F97" s="81" t="inlineStr">
        <is>
          <t>CS Cloud Overhead</t>
        </is>
      </c>
      <c r="G97" s="81" t="n">
        <v>100052</v>
      </c>
      <c r="H97" t="inlineStr">
        <is>
          <t>Cloud.Management</t>
        </is>
      </c>
      <c r="I97" t="inlineStr">
        <is>
          <t>$</t>
        </is>
      </c>
      <c r="J97" s="81" t="n">
        <v>229.5</v>
      </c>
    </row>
    <row r="98">
      <c r="B98">
        <f>Table1[[#This Row],[Cost Center Name]]&amp;Table1[[#This Row],[Job Name]]&amp;" "&amp;"-"&amp;" "&amp;Table1[[#This Row],[Job Code]]</f>
        <v/>
      </c>
      <c r="C98" t="inlineStr">
        <is>
          <t>US</t>
        </is>
      </c>
      <c r="D98" t="inlineStr">
        <is>
          <t>USD</t>
        </is>
      </c>
      <c r="E98" t="inlineStr">
        <is>
          <t xml:space="preserve">Consulting Services </t>
        </is>
      </c>
      <c r="F98" s="81" t="inlineStr">
        <is>
          <t>CS Cloud Overhead</t>
        </is>
      </c>
      <c r="G98" s="81" t="n">
        <v>100073</v>
      </c>
      <c r="H98" t="inlineStr">
        <is>
          <t>CS Overhead.Management</t>
        </is>
      </c>
      <c r="I98" t="inlineStr">
        <is>
          <t>$</t>
        </is>
      </c>
      <c r="J98" s="81" t="n">
        <v>299.25</v>
      </c>
    </row>
    <row r="99">
      <c r="B99">
        <f>Table1[[#This Row],[Cost Center Name]]&amp;Table1[[#This Row],[Job Name]]&amp;" "&amp;"-"&amp;" "&amp;Table1[[#This Row],[Job Code]]</f>
        <v/>
      </c>
      <c r="C99" t="inlineStr">
        <is>
          <t>US</t>
        </is>
      </c>
      <c r="D99" t="inlineStr">
        <is>
          <t>USD</t>
        </is>
      </c>
      <c r="E99" t="inlineStr">
        <is>
          <t xml:space="preserve">Consulting Services </t>
        </is>
      </c>
      <c r="F99" s="81" t="inlineStr">
        <is>
          <t>CS Cloud Solutions Architects</t>
        </is>
      </c>
      <c r="G99" s="81" t="n">
        <v>100276</v>
      </c>
      <c r="H99" t="inlineStr">
        <is>
          <t>Cloud.Solutions Architect</t>
        </is>
      </c>
      <c r="I99" t="inlineStr">
        <is>
          <t>$</t>
        </is>
      </c>
      <c r="J99" s="81" t="n">
        <v>217.12</v>
      </c>
    </row>
    <row r="100">
      <c r="B100">
        <f>Table1[[#This Row],[Cost Center Name]]&amp;Table1[[#This Row],[Job Name]]&amp;" "&amp;"-"&amp;" "&amp;Table1[[#This Row],[Job Code]]</f>
        <v/>
      </c>
      <c r="C100" t="inlineStr">
        <is>
          <t>US</t>
        </is>
      </c>
      <c r="D100" t="inlineStr">
        <is>
          <t>USD</t>
        </is>
      </c>
      <c r="E100" t="inlineStr">
        <is>
          <t xml:space="preserve">Consulting Services </t>
        </is>
      </c>
      <c r="F100" s="81" t="inlineStr">
        <is>
          <t>CS Cloud Technical</t>
        </is>
      </c>
      <c r="G100" s="81" t="n">
        <v>100051</v>
      </c>
      <c r="H100" t="inlineStr">
        <is>
          <t>Cloud.Engineer</t>
        </is>
      </c>
      <c r="I100" t="inlineStr">
        <is>
          <t>$</t>
        </is>
      </c>
      <c r="J100" s="81" t="n">
        <v>127.8</v>
      </c>
    </row>
    <row r="101">
      <c r="B101">
        <f>Table1[[#This Row],[Cost Center Name]]&amp;Table1[[#This Row],[Job Name]]&amp;" "&amp;"-"&amp;" "&amp;Table1[[#This Row],[Job Code]]</f>
        <v/>
      </c>
      <c r="C101" t="inlineStr">
        <is>
          <t>US</t>
        </is>
      </c>
      <c r="D101" t="inlineStr">
        <is>
          <t>USD</t>
        </is>
      </c>
      <c r="E101" t="inlineStr">
        <is>
          <t xml:space="preserve">Consulting Services </t>
        </is>
      </c>
      <c r="F101" s="81" t="inlineStr">
        <is>
          <t>CS Cloud Technical</t>
        </is>
      </c>
      <c r="G101" s="81" t="n">
        <v>100053</v>
      </c>
      <c r="H101" t="inlineStr">
        <is>
          <t>Cloud.PlatformArchitect</t>
        </is>
      </c>
      <c r="I101" t="inlineStr">
        <is>
          <t>$</t>
        </is>
      </c>
      <c r="J101" s="81" t="n">
        <v>168.27</v>
      </c>
    </row>
    <row r="102">
      <c r="B102">
        <f>Table1[[#This Row],[Cost Center Name]]&amp;Table1[[#This Row],[Job Name]]&amp;" "&amp;"-"&amp;" "&amp;Table1[[#This Row],[Job Code]]</f>
        <v/>
      </c>
      <c r="C102" t="inlineStr">
        <is>
          <t>US</t>
        </is>
      </c>
      <c r="D102" t="inlineStr">
        <is>
          <t>USD</t>
        </is>
      </c>
      <c r="E102" t="inlineStr">
        <is>
          <t xml:space="preserve">Consulting Services </t>
        </is>
      </c>
      <c r="F102" s="81" t="inlineStr">
        <is>
          <t>CS Cloud Technical</t>
        </is>
      </c>
      <c r="G102" s="81" t="n">
        <v>100278</v>
      </c>
      <c r="H102" t="inlineStr">
        <is>
          <t>Cloud.Practice Lead</t>
        </is>
      </c>
      <c r="I102" t="inlineStr">
        <is>
          <t>$</t>
        </is>
      </c>
      <c r="J102" s="81" t="n">
        <v>176.79</v>
      </c>
    </row>
    <row r="103">
      <c r="B103">
        <f>Table1[[#This Row],[Cost Center Name]]&amp;Table1[[#This Row],[Job Name]]&amp;" "&amp;"-"&amp;" "&amp;Table1[[#This Row],[Job Code]]</f>
        <v/>
      </c>
      <c r="C103" t="inlineStr">
        <is>
          <t>US</t>
        </is>
      </c>
      <c r="D103" t="inlineStr">
        <is>
          <t>USD</t>
        </is>
      </c>
      <c r="E103" t="inlineStr">
        <is>
          <t xml:space="preserve">Consulting Services </t>
        </is>
      </c>
      <c r="F103" s="81" t="inlineStr">
        <is>
          <t>CS Cloud Technical</t>
        </is>
      </c>
      <c r="G103" s="81" t="n">
        <v>100279</v>
      </c>
      <c r="H103" t="inlineStr">
        <is>
          <t>Cloud.Sr Architect</t>
        </is>
      </c>
      <c r="I103" t="inlineStr">
        <is>
          <t>$</t>
        </is>
      </c>
      <c r="J103" s="81" t="n">
        <v>185.31</v>
      </c>
    </row>
    <row r="104">
      <c r="B104">
        <f>Table1[[#This Row],[Cost Center Name]]&amp;Table1[[#This Row],[Job Name]]&amp;" "&amp;"-"&amp;" "&amp;Table1[[#This Row],[Job Code]]</f>
        <v/>
      </c>
      <c r="C104" t="inlineStr">
        <is>
          <t>US</t>
        </is>
      </c>
      <c r="D104" t="inlineStr">
        <is>
          <t>USD</t>
        </is>
      </c>
      <c r="E104" t="inlineStr">
        <is>
          <t xml:space="preserve">Consulting Services </t>
        </is>
      </c>
      <c r="F104" s="81" t="inlineStr">
        <is>
          <t>CS Cloud Transition Billable</t>
        </is>
      </c>
      <c r="G104" s="81" t="n">
        <v>100051</v>
      </c>
      <c r="H104" t="inlineStr">
        <is>
          <t>Cloud.Engineer</t>
        </is>
      </c>
      <c r="I104" t="inlineStr">
        <is>
          <t>$</t>
        </is>
      </c>
      <c r="J104" s="81" t="n">
        <v>141.6</v>
      </c>
    </row>
    <row r="105">
      <c r="B105">
        <f>Table1[[#This Row],[Cost Center Name]]&amp;Table1[[#This Row],[Job Name]]&amp;" "&amp;"-"&amp;" "&amp;Table1[[#This Row],[Job Code]]</f>
        <v/>
      </c>
      <c r="C105" t="inlineStr">
        <is>
          <t>US</t>
        </is>
      </c>
      <c r="D105" t="inlineStr">
        <is>
          <t>USD</t>
        </is>
      </c>
      <c r="E105" t="inlineStr">
        <is>
          <t xml:space="preserve">Consulting Services </t>
        </is>
      </c>
      <c r="F105" s="81" t="inlineStr">
        <is>
          <t>CS Cloud Transition Billable</t>
        </is>
      </c>
      <c r="G105" s="81" t="n">
        <v>100053</v>
      </c>
      <c r="H105" t="inlineStr">
        <is>
          <t>Cloud.PlatformArchitect</t>
        </is>
      </c>
      <c r="I105" t="inlineStr">
        <is>
          <t>$</t>
        </is>
      </c>
      <c r="J105" s="81" t="n">
        <v>186.44</v>
      </c>
    </row>
    <row r="106">
      <c r="B106">
        <f>Table1[[#This Row],[Cost Center Name]]&amp;Table1[[#This Row],[Job Name]]&amp;" "&amp;"-"&amp;" "&amp;Table1[[#This Row],[Job Code]]</f>
        <v/>
      </c>
      <c r="C106" t="inlineStr">
        <is>
          <t>US</t>
        </is>
      </c>
      <c r="D106" t="inlineStr">
        <is>
          <t>USD</t>
        </is>
      </c>
      <c r="E106" t="inlineStr">
        <is>
          <t xml:space="preserve">Consulting Services </t>
        </is>
      </c>
      <c r="F106" s="81" t="inlineStr">
        <is>
          <t>CS Cloud Transition Billable</t>
        </is>
      </c>
      <c r="G106" s="81" t="n">
        <v>100274</v>
      </c>
      <c r="H106" t="inlineStr">
        <is>
          <t>Cloud.Associate Engineer</t>
        </is>
      </c>
      <c r="I106" t="inlineStr">
        <is>
          <t>$</t>
        </is>
      </c>
      <c r="J106" s="81" t="n">
        <v>125.08</v>
      </c>
    </row>
    <row r="107">
      <c r="B107">
        <f>Table1[[#This Row],[Cost Center Name]]&amp;Table1[[#This Row],[Job Name]]&amp;" "&amp;"-"&amp;" "&amp;Table1[[#This Row],[Job Code]]</f>
        <v/>
      </c>
      <c r="C107" t="inlineStr">
        <is>
          <t>US</t>
        </is>
      </c>
      <c r="D107" t="inlineStr">
        <is>
          <t>USD</t>
        </is>
      </c>
      <c r="E107" t="inlineStr">
        <is>
          <t xml:space="preserve">Consulting Services </t>
        </is>
      </c>
      <c r="F107" s="81" t="inlineStr">
        <is>
          <t>CS Cloud Transition Billable</t>
        </is>
      </c>
      <c r="G107" s="81" t="n">
        <v>100279</v>
      </c>
      <c r="H107" t="inlineStr">
        <is>
          <t>Cloud.Sr Architect</t>
        </is>
      </c>
      <c r="I107" t="inlineStr">
        <is>
          <t>$</t>
        </is>
      </c>
      <c r="J107" s="81" t="n">
        <v>205.32</v>
      </c>
    </row>
    <row r="108">
      <c r="B108">
        <f>Table1[[#This Row],[Cost Center Name]]&amp;Table1[[#This Row],[Job Name]]&amp;" "&amp;"-"&amp;" "&amp;Table1[[#This Row],[Job Code]]</f>
        <v/>
      </c>
      <c r="C108" t="inlineStr">
        <is>
          <t>US</t>
        </is>
      </c>
      <c r="D108" t="inlineStr">
        <is>
          <t>USD</t>
        </is>
      </c>
      <c r="E108" t="inlineStr">
        <is>
          <t xml:space="preserve">Consulting Services </t>
        </is>
      </c>
      <c r="F108" s="81" t="inlineStr">
        <is>
          <t>CS Cloud Transition Billable</t>
        </is>
      </c>
      <c r="G108" s="81" t="n">
        <v>100280</v>
      </c>
      <c r="H108" t="inlineStr">
        <is>
          <t>Cloud.Sr Engineer</t>
        </is>
      </c>
      <c r="I108" t="inlineStr">
        <is>
          <t>$</t>
        </is>
      </c>
      <c r="J108" s="81" t="n">
        <v>188.8</v>
      </c>
    </row>
    <row r="109">
      <c r="B109">
        <f>Table1[[#This Row],[Cost Center Name]]&amp;Table1[[#This Row],[Job Name]]&amp;" "&amp;"-"&amp;" "&amp;Table1[[#This Row],[Job Code]]</f>
        <v/>
      </c>
      <c r="C109" t="inlineStr">
        <is>
          <t>US</t>
        </is>
      </c>
      <c r="D109" t="inlineStr">
        <is>
          <t>USD</t>
        </is>
      </c>
      <c r="E109" t="inlineStr">
        <is>
          <t xml:space="preserve">Consulting Services </t>
        </is>
      </c>
      <c r="F109" s="81" t="inlineStr">
        <is>
          <t>CS Cloud Transition Overhead</t>
        </is>
      </c>
      <c r="G109" s="81" t="n">
        <v>100052</v>
      </c>
      <c r="H109" t="inlineStr">
        <is>
          <t>Cloud.Management</t>
        </is>
      </c>
      <c r="I109" t="inlineStr">
        <is>
          <t>$</t>
        </is>
      </c>
      <c r="J109" s="81" t="n">
        <v>229.5</v>
      </c>
    </row>
    <row r="110">
      <c r="B110">
        <f>Table1[[#This Row],[Cost Center Name]]&amp;Table1[[#This Row],[Job Name]]&amp;" "&amp;"-"&amp;" "&amp;Table1[[#This Row],[Job Code]]</f>
        <v/>
      </c>
      <c r="C110" t="inlineStr">
        <is>
          <t>US</t>
        </is>
      </c>
      <c r="D110" t="inlineStr">
        <is>
          <t>USD</t>
        </is>
      </c>
      <c r="E110" t="inlineStr">
        <is>
          <t xml:space="preserve">Consulting Services </t>
        </is>
      </c>
      <c r="F110" s="81" t="inlineStr">
        <is>
          <t>CS Cloud Transition Overhead</t>
        </is>
      </c>
      <c r="G110" s="81" t="n">
        <v>100278</v>
      </c>
      <c r="H110" t="inlineStr">
        <is>
          <t>Cloud.Practice Lead</t>
        </is>
      </c>
      <c r="I110" t="inlineStr">
        <is>
          <t>$</t>
        </is>
      </c>
      <c r="J110" s="81" t="n">
        <v>186.75</v>
      </c>
    </row>
    <row r="111">
      <c r="B111">
        <f>Table1[[#This Row],[Cost Center Name]]&amp;Table1[[#This Row],[Job Name]]&amp;" "&amp;"-"&amp;" "&amp;Table1[[#This Row],[Job Code]]</f>
        <v/>
      </c>
      <c r="C111" t="inlineStr">
        <is>
          <t>US</t>
        </is>
      </c>
      <c r="D111" t="inlineStr">
        <is>
          <t>USD</t>
        </is>
      </c>
      <c r="E111" t="inlineStr">
        <is>
          <t xml:space="preserve">Consulting Services </t>
        </is>
      </c>
      <c r="F111" s="81" t="inlineStr">
        <is>
          <t>CS Digital BD</t>
        </is>
      </c>
      <c r="G111" s="81" t="n">
        <v>100267</v>
      </c>
      <c r="H111" t="inlineStr">
        <is>
          <t>Digital.Director</t>
        </is>
      </c>
      <c r="I111" t="inlineStr">
        <is>
          <t>$</t>
        </is>
      </c>
      <c r="J111" s="81" t="n">
        <v>224.54</v>
      </c>
    </row>
    <row r="112">
      <c r="B112">
        <f>Table1[[#This Row],[Cost Center Name]]&amp;Table1[[#This Row],[Job Name]]&amp;" "&amp;"-"&amp;" "&amp;Table1[[#This Row],[Job Code]]</f>
        <v/>
      </c>
      <c r="C112" t="inlineStr">
        <is>
          <t>US</t>
        </is>
      </c>
      <c r="D112" t="inlineStr">
        <is>
          <t>USD</t>
        </is>
      </c>
      <c r="E112" t="inlineStr">
        <is>
          <t xml:space="preserve">Consulting Services </t>
        </is>
      </c>
      <c r="F112" s="81" t="inlineStr">
        <is>
          <t>CS Digital BD</t>
        </is>
      </c>
      <c r="G112" s="81" t="n">
        <v>100268</v>
      </c>
      <c r="H112" t="inlineStr">
        <is>
          <t>Digital.Manager</t>
        </is>
      </c>
      <c r="I112" t="inlineStr">
        <is>
          <t>$</t>
        </is>
      </c>
      <c r="J112" s="81" t="n">
        <v>140.08</v>
      </c>
    </row>
    <row r="113">
      <c r="B113">
        <f>Table1[[#This Row],[Cost Center Name]]&amp;Table1[[#This Row],[Job Name]]&amp;" "&amp;"-"&amp;" "&amp;Table1[[#This Row],[Job Code]]</f>
        <v/>
      </c>
      <c r="C113" t="inlineStr">
        <is>
          <t>US</t>
        </is>
      </c>
      <c r="D113" t="inlineStr">
        <is>
          <t>USD</t>
        </is>
      </c>
      <c r="E113" t="inlineStr">
        <is>
          <t xml:space="preserve">Consulting Services </t>
        </is>
      </c>
      <c r="F113" s="81" t="inlineStr">
        <is>
          <t>CS Digital BD</t>
        </is>
      </c>
      <c r="G113" s="81" t="n">
        <v>100271</v>
      </c>
      <c r="H113" t="inlineStr">
        <is>
          <t>Digital.Sr Consultant</t>
        </is>
      </c>
      <c r="I113" t="inlineStr">
        <is>
          <t>$</t>
        </is>
      </c>
      <c r="J113" s="81" t="n">
        <v>241.02</v>
      </c>
    </row>
    <row r="114">
      <c r="B114">
        <f>Table1[[#This Row],[Cost Center Name]]&amp;Table1[[#This Row],[Job Name]]&amp;" "&amp;"-"&amp;" "&amp;Table1[[#This Row],[Job Code]]</f>
        <v/>
      </c>
      <c r="C114" t="inlineStr">
        <is>
          <t>US</t>
        </is>
      </c>
      <c r="D114" t="inlineStr">
        <is>
          <t>USD</t>
        </is>
      </c>
      <c r="E114" t="inlineStr">
        <is>
          <t xml:space="preserve">Consulting Services </t>
        </is>
      </c>
      <c r="F114" s="81" t="inlineStr">
        <is>
          <t>CS Digital BD</t>
        </is>
      </c>
      <c r="G114" s="81" t="n">
        <v>100303</v>
      </c>
      <c r="H114" t="inlineStr">
        <is>
          <t>Digital.Operations</t>
        </is>
      </c>
      <c r="I114" t="inlineStr">
        <is>
          <t>$</t>
        </is>
      </c>
      <c r="J114" s="81" t="n">
        <v>76.22</v>
      </c>
    </row>
    <row r="115">
      <c r="B115">
        <f>Table1[[#This Row],[Cost Center Name]]&amp;Table1[[#This Row],[Job Name]]&amp;" "&amp;"-"&amp;" "&amp;Table1[[#This Row],[Job Code]]</f>
        <v/>
      </c>
      <c r="C115" t="inlineStr">
        <is>
          <t>US</t>
        </is>
      </c>
      <c r="D115" t="inlineStr">
        <is>
          <t>USD</t>
        </is>
      </c>
      <c r="E115" t="inlineStr">
        <is>
          <t xml:space="preserve">Consulting Services </t>
        </is>
      </c>
      <c r="F115" s="81" t="inlineStr">
        <is>
          <t>CS Digital BD</t>
        </is>
      </c>
      <c r="G115" s="81" t="n">
        <v>100304</v>
      </c>
      <c r="H115" t="inlineStr">
        <is>
          <t>Digital.Sr Creative Consultant</t>
        </is>
      </c>
      <c r="I115" t="inlineStr">
        <is>
          <t>$</t>
        </is>
      </c>
      <c r="J115" s="81" t="n">
        <v>117.42</v>
      </c>
    </row>
    <row r="116">
      <c r="B116">
        <f>Table1[[#This Row],[Cost Center Name]]&amp;Table1[[#This Row],[Job Name]]&amp;" "&amp;"-"&amp;" "&amp;Table1[[#This Row],[Job Code]]</f>
        <v/>
      </c>
      <c r="C116" t="inlineStr">
        <is>
          <t>US</t>
        </is>
      </c>
      <c r="D116" t="inlineStr">
        <is>
          <t>USD</t>
        </is>
      </c>
      <c r="E116" t="inlineStr">
        <is>
          <t xml:space="preserve">Consulting Services </t>
        </is>
      </c>
      <c r="F116" s="81" t="inlineStr">
        <is>
          <t>CS Digital Billable</t>
        </is>
      </c>
      <c r="G116" s="81" t="n">
        <v>100020</v>
      </c>
      <c r="H116" t="inlineStr">
        <is>
          <t>Agile Delivery.UX Consultant</t>
        </is>
      </c>
      <c r="I116" t="inlineStr">
        <is>
          <t>$</t>
        </is>
      </c>
      <c r="J116" s="81" t="n">
        <v>166.86</v>
      </c>
    </row>
    <row r="117">
      <c r="B117">
        <f>Table1[[#This Row],[Cost Center Name]]&amp;Table1[[#This Row],[Job Name]]&amp;" "&amp;"-"&amp;" "&amp;Table1[[#This Row],[Job Code]]</f>
        <v/>
      </c>
      <c r="C117" t="inlineStr">
        <is>
          <t>US</t>
        </is>
      </c>
      <c r="D117" t="inlineStr">
        <is>
          <t>USD</t>
        </is>
      </c>
      <c r="E117" t="inlineStr">
        <is>
          <t xml:space="preserve">Consulting Services </t>
        </is>
      </c>
      <c r="F117" s="81" t="inlineStr">
        <is>
          <t>CS Digital Billable</t>
        </is>
      </c>
      <c r="G117" s="81" t="n">
        <v>100264</v>
      </c>
      <c r="H117" t="inlineStr">
        <is>
          <t>Digital.Architect</t>
        </is>
      </c>
      <c r="I117" t="inlineStr">
        <is>
          <t>$</t>
        </is>
      </c>
      <c r="J117" s="81" t="n">
        <v>181.28</v>
      </c>
    </row>
    <row r="118">
      <c r="B118">
        <f>Table1[[#This Row],[Cost Center Name]]&amp;Table1[[#This Row],[Job Name]]&amp;" "&amp;"-"&amp;" "&amp;Table1[[#This Row],[Job Code]]</f>
        <v/>
      </c>
      <c r="C118" t="inlineStr">
        <is>
          <t>US</t>
        </is>
      </c>
      <c r="D118" t="inlineStr">
        <is>
          <t>USD</t>
        </is>
      </c>
      <c r="E118" t="inlineStr">
        <is>
          <t xml:space="preserve">Consulting Services </t>
        </is>
      </c>
      <c r="F118" s="81" t="inlineStr">
        <is>
          <t>CS Digital Billable</t>
        </is>
      </c>
      <c r="G118" s="81" t="n">
        <v>100265</v>
      </c>
      <c r="H118" t="inlineStr">
        <is>
          <t>Digital.Consultant</t>
        </is>
      </c>
      <c r="I118" t="inlineStr">
        <is>
          <t>$</t>
        </is>
      </c>
      <c r="J118" s="81" t="n">
        <v>154.5</v>
      </c>
    </row>
    <row r="119">
      <c r="B119">
        <f>Table1[[#This Row],[Cost Center Name]]&amp;Table1[[#This Row],[Job Name]]&amp;" "&amp;"-"&amp;" "&amp;Table1[[#This Row],[Job Code]]</f>
        <v/>
      </c>
      <c r="C119" t="inlineStr">
        <is>
          <t>US</t>
        </is>
      </c>
      <c r="D119" t="inlineStr">
        <is>
          <t>USD</t>
        </is>
      </c>
      <c r="E119" t="inlineStr">
        <is>
          <t xml:space="preserve">Consulting Services </t>
        </is>
      </c>
      <c r="F119" s="81" t="inlineStr">
        <is>
          <t>CS Digital Billable</t>
        </is>
      </c>
      <c r="G119" s="81" t="n">
        <v>100266</v>
      </c>
      <c r="H119" t="inlineStr">
        <is>
          <t>Digital.Creative Consultant</t>
        </is>
      </c>
      <c r="I119" t="inlineStr">
        <is>
          <t>$</t>
        </is>
      </c>
      <c r="J119" s="81" t="n">
        <v>84.45999999999999</v>
      </c>
    </row>
    <row r="120">
      <c r="B120">
        <f>Table1[[#This Row],[Cost Center Name]]&amp;Table1[[#This Row],[Job Name]]&amp;" "&amp;"-"&amp;" "&amp;Table1[[#This Row],[Job Code]]</f>
        <v/>
      </c>
      <c r="C120" t="inlineStr">
        <is>
          <t>US</t>
        </is>
      </c>
      <c r="D120" t="inlineStr">
        <is>
          <t>USD</t>
        </is>
      </c>
      <c r="E120" t="inlineStr">
        <is>
          <t xml:space="preserve">Consulting Services </t>
        </is>
      </c>
      <c r="F120" s="81" t="inlineStr">
        <is>
          <t>CS Digital Billable</t>
        </is>
      </c>
      <c r="G120" s="81" t="n">
        <v>100269</v>
      </c>
      <c r="H120" t="inlineStr">
        <is>
          <t>Digital.Program Director</t>
        </is>
      </c>
      <c r="I120" t="inlineStr">
        <is>
          <t>$</t>
        </is>
      </c>
      <c r="J120" s="81" t="n">
        <v>222.48</v>
      </c>
    </row>
    <row r="121">
      <c r="B121">
        <f>Table1[[#This Row],[Cost Center Name]]&amp;Table1[[#This Row],[Job Name]]&amp;" "&amp;"-"&amp;" "&amp;Table1[[#This Row],[Job Code]]</f>
        <v/>
      </c>
      <c r="C121" t="inlineStr">
        <is>
          <t>US</t>
        </is>
      </c>
      <c r="D121" t="inlineStr">
        <is>
          <t>USD</t>
        </is>
      </c>
      <c r="E121" t="inlineStr">
        <is>
          <t xml:space="preserve">Consulting Services </t>
        </is>
      </c>
      <c r="F121" s="81" t="inlineStr">
        <is>
          <t>CS Digital Billable</t>
        </is>
      </c>
      <c r="G121" s="81" t="n">
        <v>100270</v>
      </c>
      <c r="H121" t="inlineStr">
        <is>
          <t>Digital.Project Manager</t>
        </is>
      </c>
      <c r="I121" t="inlineStr">
        <is>
          <t>$</t>
        </is>
      </c>
      <c r="J121" s="81" t="n">
        <v>115.36</v>
      </c>
    </row>
    <row r="122">
      <c r="B122">
        <f>Table1[[#This Row],[Cost Center Name]]&amp;Table1[[#This Row],[Job Name]]&amp;" "&amp;"-"&amp;" "&amp;Table1[[#This Row],[Job Code]]</f>
        <v/>
      </c>
      <c r="C122" t="inlineStr">
        <is>
          <t>US</t>
        </is>
      </c>
      <c r="D122" t="inlineStr">
        <is>
          <t>USD</t>
        </is>
      </c>
      <c r="E122" t="inlineStr">
        <is>
          <t xml:space="preserve">Consulting Services </t>
        </is>
      </c>
      <c r="F122" s="81" t="inlineStr">
        <is>
          <t>CS Digital Billable</t>
        </is>
      </c>
      <c r="G122" s="81" t="n">
        <v>100271</v>
      </c>
      <c r="H122" t="inlineStr">
        <is>
          <t>Digital.Sr Consultant</t>
        </is>
      </c>
      <c r="I122" t="inlineStr">
        <is>
          <t>$</t>
        </is>
      </c>
      <c r="J122" s="81" t="n">
        <v>241.02</v>
      </c>
    </row>
    <row r="123">
      <c r="B123">
        <f>Table1[[#This Row],[Cost Center Name]]&amp;Table1[[#This Row],[Job Name]]&amp;" "&amp;"-"&amp;" "&amp;Table1[[#This Row],[Job Code]]</f>
        <v/>
      </c>
      <c r="C123" t="inlineStr">
        <is>
          <t>US</t>
        </is>
      </c>
      <c r="D123" t="inlineStr">
        <is>
          <t>USD</t>
        </is>
      </c>
      <c r="E123" t="inlineStr">
        <is>
          <t xml:space="preserve">Consulting Services </t>
        </is>
      </c>
      <c r="F123" s="81" t="inlineStr">
        <is>
          <t>CS Digital Billable</t>
        </is>
      </c>
      <c r="G123" s="81" t="n">
        <v>100304</v>
      </c>
      <c r="H123" t="inlineStr">
        <is>
          <t>Digital.Sr Creative Consultant</t>
        </is>
      </c>
      <c r="I123" t="inlineStr">
        <is>
          <t>$</t>
        </is>
      </c>
      <c r="J123" s="81" t="n">
        <v>117.42</v>
      </c>
    </row>
    <row r="124">
      <c r="B124">
        <f>Table1[[#This Row],[Cost Center Name]]&amp;Table1[[#This Row],[Job Name]]&amp;" "&amp;"-"&amp;" "&amp;Table1[[#This Row],[Job Code]]</f>
        <v/>
      </c>
      <c r="C124" t="inlineStr">
        <is>
          <t>US</t>
        </is>
      </c>
      <c r="D124" t="inlineStr">
        <is>
          <t>USD</t>
        </is>
      </c>
      <c r="E124" t="inlineStr">
        <is>
          <t xml:space="preserve">Consulting Services </t>
        </is>
      </c>
      <c r="F124" s="81" t="inlineStr">
        <is>
          <t>CS Digital Overhead</t>
        </is>
      </c>
      <c r="G124" s="81" t="n">
        <v>100073</v>
      </c>
      <c r="H124" t="inlineStr">
        <is>
          <t>CS Overhead.Management</t>
        </is>
      </c>
      <c r="I124" t="inlineStr">
        <is>
          <t>$</t>
        </is>
      </c>
      <c r="J124" s="81" t="n">
        <v>299.25</v>
      </c>
    </row>
    <row r="125">
      <c r="B125">
        <f>Table1[[#This Row],[Cost Center Name]]&amp;Table1[[#This Row],[Job Name]]&amp;" "&amp;"-"&amp;" "&amp;Table1[[#This Row],[Job Code]]</f>
        <v/>
      </c>
      <c r="C125" t="inlineStr">
        <is>
          <t>US</t>
        </is>
      </c>
      <c r="D125" t="inlineStr">
        <is>
          <t>USD</t>
        </is>
      </c>
      <c r="E125" t="inlineStr">
        <is>
          <t xml:space="preserve">Consulting Services </t>
        </is>
      </c>
      <c r="F125" s="81" t="inlineStr">
        <is>
          <t>CS Digital Overhead</t>
        </is>
      </c>
      <c r="G125" s="81" t="n">
        <v>100267</v>
      </c>
      <c r="H125" t="inlineStr">
        <is>
          <t>Digital.Director</t>
        </is>
      </c>
      <c r="I125" t="inlineStr">
        <is>
          <t>$</t>
        </is>
      </c>
      <c r="J125" s="81" t="n">
        <v>245.25</v>
      </c>
    </row>
    <row r="126">
      <c r="B126">
        <f>Table1[[#This Row],[Cost Center Name]]&amp;Table1[[#This Row],[Job Name]]&amp;" "&amp;"-"&amp;" "&amp;Table1[[#This Row],[Job Code]]</f>
        <v/>
      </c>
      <c r="C126" t="inlineStr">
        <is>
          <t>US</t>
        </is>
      </c>
      <c r="D126" t="inlineStr">
        <is>
          <t>USD</t>
        </is>
      </c>
      <c r="E126" t="inlineStr">
        <is>
          <t xml:space="preserve">Consulting Services </t>
        </is>
      </c>
      <c r="F126" s="81" t="inlineStr">
        <is>
          <t>CS Digital Overhead</t>
        </is>
      </c>
      <c r="G126" s="81" t="n">
        <v>100268</v>
      </c>
      <c r="H126" t="inlineStr">
        <is>
          <t>Digital.Manager</t>
        </is>
      </c>
      <c r="I126" t="inlineStr">
        <is>
          <t>$</t>
        </is>
      </c>
      <c r="J126" s="81" t="n">
        <v>153</v>
      </c>
    </row>
    <row r="127">
      <c r="B127">
        <f>Table1[[#This Row],[Cost Center Name]]&amp;Table1[[#This Row],[Job Name]]&amp;" "&amp;"-"&amp;" "&amp;Table1[[#This Row],[Job Code]]</f>
        <v/>
      </c>
      <c r="C127" t="inlineStr">
        <is>
          <t>US</t>
        </is>
      </c>
      <c r="D127" t="inlineStr">
        <is>
          <t>USD</t>
        </is>
      </c>
      <c r="E127" t="inlineStr">
        <is>
          <t xml:space="preserve">Consulting Services </t>
        </is>
      </c>
      <c r="F127" s="81" t="inlineStr">
        <is>
          <t>CS Security BD</t>
        </is>
      </c>
      <c r="G127" s="81" t="n">
        <v>100146</v>
      </c>
      <c r="H127" t="inlineStr">
        <is>
          <t>Services Overhead.Director</t>
        </is>
      </c>
      <c r="I127" t="inlineStr">
        <is>
          <t>$</t>
        </is>
      </c>
      <c r="J127" s="81" t="n">
        <v>227.25</v>
      </c>
    </row>
    <row r="128">
      <c r="B128">
        <f>Table1[[#This Row],[Cost Center Name]]&amp;Table1[[#This Row],[Job Name]]&amp;" "&amp;"-"&amp;" "&amp;Table1[[#This Row],[Job Code]]</f>
        <v/>
      </c>
      <c r="C128" t="inlineStr">
        <is>
          <t>US</t>
        </is>
      </c>
      <c r="D128" t="inlineStr">
        <is>
          <t>USD</t>
        </is>
      </c>
      <c r="E128" t="inlineStr">
        <is>
          <t xml:space="preserve">Consulting Services </t>
        </is>
      </c>
      <c r="F128" s="81" t="inlineStr">
        <is>
          <t>CS Security BD</t>
        </is>
      </c>
      <c r="G128" s="81" t="n">
        <v>100156</v>
      </c>
      <c r="H128" t="inlineStr">
        <is>
          <t>Security.Consultant</t>
        </is>
      </c>
      <c r="I128" t="inlineStr">
        <is>
          <t>$</t>
        </is>
      </c>
      <c r="J128" s="81" t="n">
        <v>175.5</v>
      </c>
    </row>
    <row r="129">
      <c r="B129">
        <f>Table1[[#This Row],[Cost Center Name]]&amp;Table1[[#This Row],[Job Name]]&amp;" "&amp;"-"&amp;" "&amp;Table1[[#This Row],[Job Code]]</f>
        <v/>
      </c>
      <c r="C129" t="inlineStr">
        <is>
          <t>US</t>
        </is>
      </c>
      <c r="D129" t="inlineStr">
        <is>
          <t>USD</t>
        </is>
      </c>
      <c r="E129" t="inlineStr">
        <is>
          <t xml:space="preserve">Consulting Services </t>
        </is>
      </c>
      <c r="F129" s="81" t="inlineStr">
        <is>
          <t>CS Security BD</t>
        </is>
      </c>
      <c r="G129" s="81" t="n">
        <v>100159</v>
      </c>
      <c r="H129" t="inlineStr">
        <is>
          <t>Security.Principal Consultant</t>
        </is>
      </c>
      <c r="I129" t="inlineStr">
        <is>
          <t>$</t>
        </is>
      </c>
      <c r="J129" s="81" t="n">
        <v>225</v>
      </c>
    </row>
    <row r="130">
      <c r="B130">
        <f>Table1[[#This Row],[Cost Center Name]]&amp;Table1[[#This Row],[Job Name]]&amp;" "&amp;"-"&amp;" "&amp;Table1[[#This Row],[Job Code]]</f>
        <v/>
      </c>
      <c r="C130" t="inlineStr">
        <is>
          <t>US</t>
        </is>
      </c>
      <c r="D130" t="inlineStr">
        <is>
          <t>USD</t>
        </is>
      </c>
      <c r="E130" t="inlineStr">
        <is>
          <t xml:space="preserve">Consulting Services </t>
        </is>
      </c>
      <c r="F130" s="81" t="inlineStr">
        <is>
          <t>CS Security BD</t>
        </is>
      </c>
      <c r="G130" s="81" t="n">
        <v>100161</v>
      </c>
      <c r="H130" t="inlineStr">
        <is>
          <t>Security.Technician</t>
        </is>
      </c>
      <c r="I130" t="inlineStr">
        <is>
          <t>$</t>
        </is>
      </c>
      <c r="J130" s="81" t="n">
        <v>105.75</v>
      </c>
    </row>
    <row r="131">
      <c r="B131">
        <f>Table1[[#This Row],[Cost Center Name]]&amp;Table1[[#This Row],[Job Name]]&amp;" "&amp;"-"&amp;" "&amp;Table1[[#This Row],[Job Code]]</f>
        <v/>
      </c>
      <c r="C131" t="inlineStr">
        <is>
          <t>US</t>
        </is>
      </c>
      <c r="D131" t="inlineStr">
        <is>
          <t>USD</t>
        </is>
      </c>
      <c r="E131" t="inlineStr">
        <is>
          <t xml:space="preserve">Consulting Services </t>
        </is>
      </c>
      <c r="F131" s="81" t="inlineStr">
        <is>
          <t>CS Security BD</t>
        </is>
      </c>
      <c r="G131" s="81" t="n">
        <v>100273</v>
      </c>
      <c r="H131" t="inlineStr">
        <is>
          <t>Security.Sr Consultant</t>
        </is>
      </c>
      <c r="I131" t="inlineStr">
        <is>
          <t>$</t>
        </is>
      </c>
      <c r="J131" s="81" t="n">
        <v>202.5</v>
      </c>
    </row>
    <row r="132">
      <c r="B132">
        <f>Table1[[#This Row],[Cost Center Name]]&amp;Table1[[#This Row],[Job Name]]&amp;" "&amp;"-"&amp;" "&amp;Table1[[#This Row],[Job Code]]</f>
        <v/>
      </c>
      <c r="C132" t="inlineStr">
        <is>
          <t>US</t>
        </is>
      </c>
      <c r="D132" t="inlineStr">
        <is>
          <t>USD</t>
        </is>
      </c>
      <c r="E132" t="inlineStr">
        <is>
          <t xml:space="preserve">Consulting Services </t>
        </is>
      </c>
      <c r="F132" s="81" t="inlineStr">
        <is>
          <t>CS Security Dedicated</t>
        </is>
      </c>
      <c r="G132" s="81" t="n">
        <v>100159</v>
      </c>
      <c r="H132" t="inlineStr">
        <is>
          <t>Security.Principal Consultant</t>
        </is>
      </c>
      <c r="I132" t="inlineStr">
        <is>
          <t>$</t>
        </is>
      </c>
      <c r="J132" s="81" t="n">
        <v>189</v>
      </c>
    </row>
    <row r="133">
      <c r="B133">
        <f>Table1[[#This Row],[Cost Center Name]]&amp;Table1[[#This Row],[Job Name]]&amp;" "&amp;"-"&amp;" "&amp;Table1[[#This Row],[Job Code]]</f>
        <v/>
      </c>
      <c r="C133" t="inlineStr">
        <is>
          <t>US</t>
        </is>
      </c>
      <c r="D133" t="inlineStr">
        <is>
          <t>USD</t>
        </is>
      </c>
      <c r="E133" t="inlineStr">
        <is>
          <t xml:space="preserve">Consulting Services </t>
        </is>
      </c>
      <c r="F133" s="81" t="inlineStr">
        <is>
          <t>CS Security Dedicated</t>
        </is>
      </c>
      <c r="G133" s="81" t="n">
        <v>100161</v>
      </c>
      <c r="H133" t="inlineStr">
        <is>
          <t>Security.Technician</t>
        </is>
      </c>
      <c r="I133" t="inlineStr">
        <is>
          <t>$</t>
        </is>
      </c>
      <c r="J133" s="81" t="n">
        <v>88.83</v>
      </c>
    </row>
    <row r="134">
      <c r="B134">
        <f>Table1[[#This Row],[Cost Center Name]]&amp;Table1[[#This Row],[Job Name]]&amp;" "&amp;"-"&amp;" "&amp;Table1[[#This Row],[Job Code]]</f>
        <v/>
      </c>
      <c r="C134" t="inlineStr">
        <is>
          <t>US</t>
        </is>
      </c>
      <c r="D134" t="inlineStr">
        <is>
          <t>USD</t>
        </is>
      </c>
      <c r="E134" t="inlineStr">
        <is>
          <t xml:space="preserve">Consulting Services </t>
        </is>
      </c>
      <c r="F134" s="81" t="inlineStr">
        <is>
          <t>CS Security Operations</t>
        </is>
      </c>
      <c r="G134" s="81" t="n">
        <v>100073</v>
      </c>
      <c r="H134" t="inlineStr">
        <is>
          <t>CS Overhead.Management</t>
        </is>
      </c>
      <c r="I134" t="inlineStr">
        <is>
          <t>$</t>
        </is>
      </c>
      <c r="J134" s="81" t="n">
        <v>299.25</v>
      </c>
    </row>
    <row r="135">
      <c r="B135">
        <f>Table1[[#This Row],[Cost Center Name]]&amp;Table1[[#This Row],[Job Name]]&amp;" "&amp;"-"&amp;" "&amp;Table1[[#This Row],[Job Code]]</f>
        <v/>
      </c>
      <c r="C135" t="inlineStr">
        <is>
          <t>US</t>
        </is>
      </c>
      <c r="D135" t="inlineStr">
        <is>
          <t>USD</t>
        </is>
      </c>
      <c r="E135" t="inlineStr">
        <is>
          <t xml:space="preserve">Consulting Services </t>
        </is>
      </c>
      <c r="F135" s="81" t="inlineStr">
        <is>
          <t>CS Security Operations</t>
        </is>
      </c>
      <c r="G135" s="81" t="n">
        <v>100146</v>
      </c>
      <c r="H135" t="inlineStr">
        <is>
          <t>Services Overhead.Director</t>
        </is>
      </c>
      <c r="I135" t="inlineStr">
        <is>
          <t>$</t>
        </is>
      </c>
      <c r="J135" s="81" t="n">
        <v>227.25</v>
      </c>
    </row>
    <row r="136">
      <c r="B136">
        <f>Table1[[#This Row],[Cost Center Name]]&amp;Table1[[#This Row],[Job Name]]&amp;" "&amp;"-"&amp;" "&amp;Table1[[#This Row],[Job Code]]</f>
        <v/>
      </c>
      <c r="C136" t="inlineStr">
        <is>
          <t>US</t>
        </is>
      </c>
      <c r="D136" t="inlineStr">
        <is>
          <t>USD</t>
        </is>
      </c>
      <c r="E136" t="inlineStr">
        <is>
          <t xml:space="preserve">Consulting Services </t>
        </is>
      </c>
      <c r="F136" s="81" t="inlineStr">
        <is>
          <t>CS Security Services</t>
        </is>
      </c>
      <c r="G136" s="81" t="n">
        <v>100146</v>
      </c>
      <c r="H136" t="inlineStr">
        <is>
          <t>Services Overhead.Director</t>
        </is>
      </c>
      <c r="I136" t="inlineStr">
        <is>
          <t>$</t>
        </is>
      </c>
      <c r="J136" s="81" t="n">
        <v>232.3</v>
      </c>
    </row>
    <row r="137">
      <c r="B137">
        <f>Table1[[#This Row],[Cost Center Name]]&amp;Table1[[#This Row],[Job Name]]&amp;" "&amp;"-"&amp;" "&amp;Table1[[#This Row],[Job Code]]</f>
        <v/>
      </c>
      <c r="C137" t="inlineStr">
        <is>
          <t>US</t>
        </is>
      </c>
      <c r="D137" t="inlineStr">
        <is>
          <t>USD</t>
        </is>
      </c>
      <c r="E137" t="inlineStr">
        <is>
          <t xml:space="preserve">Consulting Services </t>
        </is>
      </c>
      <c r="F137" s="81" t="inlineStr">
        <is>
          <t>CS Security Services</t>
        </is>
      </c>
      <c r="G137" s="81" t="n">
        <v>100156</v>
      </c>
      <c r="H137" t="inlineStr">
        <is>
          <t>Security.Consultant</t>
        </is>
      </c>
      <c r="I137" t="inlineStr">
        <is>
          <t>$</t>
        </is>
      </c>
      <c r="J137" s="81" t="n">
        <v>179.4</v>
      </c>
    </row>
    <row r="138">
      <c r="B138">
        <f>Table1[[#This Row],[Cost Center Name]]&amp;Table1[[#This Row],[Job Name]]&amp;" "&amp;"-"&amp;" "&amp;Table1[[#This Row],[Job Code]]</f>
        <v/>
      </c>
      <c r="C138" t="inlineStr">
        <is>
          <t>US</t>
        </is>
      </c>
      <c r="D138" t="inlineStr">
        <is>
          <t>USD</t>
        </is>
      </c>
      <c r="E138" t="inlineStr">
        <is>
          <t xml:space="preserve">Consulting Services </t>
        </is>
      </c>
      <c r="F138" s="81" t="inlineStr">
        <is>
          <t>CS Security Services</t>
        </is>
      </c>
      <c r="G138" s="81" t="n">
        <v>100159</v>
      </c>
      <c r="H138" t="inlineStr">
        <is>
          <t>Security.Principal Consultant</t>
        </is>
      </c>
      <c r="I138" t="inlineStr">
        <is>
          <t>$</t>
        </is>
      </c>
      <c r="J138" s="81" t="n">
        <v>230</v>
      </c>
    </row>
    <row r="139">
      <c r="B139">
        <f>Table1[[#This Row],[Cost Center Name]]&amp;Table1[[#This Row],[Job Name]]&amp;" "&amp;"-"&amp;" "&amp;Table1[[#This Row],[Job Code]]</f>
        <v/>
      </c>
      <c r="C139" t="inlineStr">
        <is>
          <t>US</t>
        </is>
      </c>
      <c r="D139" t="inlineStr">
        <is>
          <t>USD</t>
        </is>
      </c>
      <c r="E139" t="inlineStr">
        <is>
          <t xml:space="preserve">Consulting Services </t>
        </is>
      </c>
      <c r="F139" s="81" t="inlineStr">
        <is>
          <t>CS Security Services</t>
        </is>
      </c>
      <c r="G139" s="81" t="n">
        <v>100161</v>
      </c>
      <c r="H139" t="inlineStr">
        <is>
          <t>Security.Technician</t>
        </is>
      </c>
      <c r="I139" t="inlineStr">
        <is>
          <t>$</t>
        </is>
      </c>
      <c r="J139" s="81" t="n">
        <v>108.1</v>
      </c>
    </row>
    <row r="140">
      <c r="B140">
        <f>Table1[[#This Row],[Cost Center Name]]&amp;Table1[[#This Row],[Job Name]]&amp;" "&amp;"-"&amp;" "&amp;Table1[[#This Row],[Job Code]]</f>
        <v/>
      </c>
      <c r="C140" t="inlineStr">
        <is>
          <t>US</t>
        </is>
      </c>
      <c r="D140" t="inlineStr">
        <is>
          <t>USD</t>
        </is>
      </c>
      <c r="E140" t="inlineStr">
        <is>
          <t xml:space="preserve">Consulting Services </t>
        </is>
      </c>
      <c r="F140" s="81" t="inlineStr">
        <is>
          <t>CS Security Services</t>
        </is>
      </c>
      <c r="G140" s="81" t="n">
        <v>100273</v>
      </c>
      <c r="H140" t="inlineStr">
        <is>
          <t>Security.Sr Consultant</t>
        </is>
      </c>
      <c r="I140" t="inlineStr">
        <is>
          <t>$</t>
        </is>
      </c>
      <c r="J140" s="81" t="n">
        <v>207</v>
      </c>
    </row>
    <row r="141">
      <c r="B141">
        <f>Table1[[#This Row],[Cost Center Name]]&amp;Table1[[#This Row],[Job Name]]&amp;" "&amp;"-"&amp;" "&amp;Table1[[#This Row],[Job Code]]</f>
        <v/>
      </c>
      <c r="C141" t="inlineStr">
        <is>
          <t>US</t>
        </is>
      </c>
      <c r="D141" t="inlineStr">
        <is>
          <t>USD</t>
        </is>
      </c>
      <c r="E141" t="inlineStr">
        <is>
          <t xml:space="preserve">Infrastructure Services </t>
        </is>
      </c>
      <c r="F141" s="81" t="inlineStr">
        <is>
          <t>IS CM Command Center Tier 1</t>
        </is>
      </c>
      <c r="G141" s="81" t="n">
        <v>100054</v>
      </c>
      <c r="H141" t="inlineStr">
        <is>
          <t>COMM Cntr.Contact 1</t>
        </is>
      </c>
      <c r="I141" t="inlineStr">
        <is>
          <t>$</t>
        </is>
      </c>
      <c r="J141" s="81" t="n">
        <v>54.81</v>
      </c>
    </row>
    <row r="142">
      <c r="B142">
        <f>Table1[[#This Row],[Cost Center Name]]&amp;Table1[[#This Row],[Job Name]]&amp;" "&amp;"-"&amp;" "&amp;Table1[[#This Row],[Job Code]]</f>
        <v/>
      </c>
      <c r="C142" t="inlineStr">
        <is>
          <t>US</t>
        </is>
      </c>
      <c r="D142" t="inlineStr">
        <is>
          <t>USD</t>
        </is>
      </c>
      <c r="E142" t="inlineStr">
        <is>
          <t xml:space="preserve">Infrastructure Services </t>
        </is>
      </c>
      <c r="F142" s="81" t="inlineStr">
        <is>
          <t>IS CM Overhead</t>
        </is>
      </c>
      <c r="G142" s="81" t="n">
        <v>100148</v>
      </c>
      <c r="H142" t="inlineStr">
        <is>
          <t>Services Overhead.Manager</t>
        </is>
      </c>
      <c r="I142" t="inlineStr">
        <is>
          <t>$</t>
        </is>
      </c>
      <c r="J142" s="81" t="n">
        <v>159.75</v>
      </c>
    </row>
    <row r="143">
      <c r="B143">
        <f>Table1[[#This Row],[Cost Center Name]]&amp;Table1[[#This Row],[Job Name]]&amp;" "&amp;"-"&amp;" "&amp;Table1[[#This Row],[Job Code]]</f>
        <v/>
      </c>
      <c r="C143" t="inlineStr">
        <is>
          <t>US</t>
        </is>
      </c>
      <c r="D143" t="inlineStr">
        <is>
          <t>USD</t>
        </is>
      </c>
      <c r="E143" t="inlineStr">
        <is>
          <t xml:space="preserve">Infrastructure Services </t>
        </is>
      </c>
      <c r="F143" s="81" t="inlineStr">
        <is>
          <t>IS CM Overhead</t>
        </is>
      </c>
      <c r="G143" s="81" t="n">
        <v>100149</v>
      </c>
      <c r="H143" t="inlineStr">
        <is>
          <t>Services Overhead.Staff</t>
        </is>
      </c>
      <c r="I143" t="inlineStr">
        <is>
          <t>$</t>
        </is>
      </c>
      <c r="J143" s="81" t="n">
        <v>99</v>
      </c>
    </row>
    <row r="144">
      <c r="B144">
        <f>Table1[[#This Row],[Cost Center Name]]&amp;Table1[[#This Row],[Job Name]]&amp;" "&amp;"-"&amp;" "&amp;Table1[[#This Row],[Job Code]]</f>
        <v/>
      </c>
      <c r="C144" t="inlineStr">
        <is>
          <t>US</t>
        </is>
      </c>
      <c r="D144" t="inlineStr">
        <is>
          <t>USD</t>
        </is>
      </c>
      <c r="E144" t="inlineStr">
        <is>
          <t xml:space="preserve">Infrastructure Services </t>
        </is>
      </c>
      <c r="F144" s="81" t="inlineStr">
        <is>
          <t>IS DS Allctd</t>
        </is>
      </c>
      <c r="G144" s="81" t="n">
        <v>100107</v>
      </c>
      <c r="H144" t="inlineStr">
        <is>
          <t>Engineering.Coordinator</t>
        </is>
      </c>
      <c r="I144" t="inlineStr">
        <is>
          <t>$</t>
        </is>
      </c>
      <c r="J144" s="81" t="n">
        <v>76.5</v>
      </c>
    </row>
    <row r="145">
      <c r="B145">
        <f>Table1[[#This Row],[Cost Center Name]]&amp;Table1[[#This Row],[Job Name]]&amp;" "&amp;"-"&amp;" "&amp;Table1[[#This Row],[Job Code]]</f>
        <v/>
      </c>
      <c r="C145" t="inlineStr">
        <is>
          <t>US</t>
        </is>
      </c>
      <c r="D145" t="inlineStr">
        <is>
          <t>USD</t>
        </is>
      </c>
      <c r="E145" t="inlineStr">
        <is>
          <t xml:space="preserve">Infrastructure Services </t>
        </is>
      </c>
      <c r="F145" s="81" t="inlineStr">
        <is>
          <t>IS DS Allctd</t>
        </is>
      </c>
      <c r="G145" s="81" t="n">
        <v>100148</v>
      </c>
      <c r="H145" t="inlineStr">
        <is>
          <t>Services Overhead.Manager</t>
        </is>
      </c>
      <c r="I145" t="inlineStr">
        <is>
          <t>$</t>
        </is>
      </c>
      <c r="J145" s="81" t="n">
        <v>159.75</v>
      </c>
    </row>
    <row r="146">
      <c r="B146">
        <f>Table1[[#This Row],[Cost Center Name]]&amp;Table1[[#This Row],[Job Name]]&amp;" "&amp;"-"&amp;" "&amp;Table1[[#This Row],[Job Code]]</f>
        <v/>
      </c>
      <c r="C146" t="inlineStr">
        <is>
          <t>US</t>
        </is>
      </c>
      <c r="D146" t="inlineStr">
        <is>
          <t>USD</t>
        </is>
      </c>
      <c r="E146" t="inlineStr">
        <is>
          <t xml:space="preserve">Infrastructure Services </t>
        </is>
      </c>
      <c r="F146" s="81" t="inlineStr">
        <is>
          <t>IS DS Allctd</t>
        </is>
      </c>
      <c r="G146" s="81" t="n">
        <v>100149</v>
      </c>
      <c r="H146" t="inlineStr">
        <is>
          <t>Services Overhead.Staff</t>
        </is>
      </c>
      <c r="I146" t="inlineStr">
        <is>
          <t>$</t>
        </is>
      </c>
      <c r="J146" s="81" t="n">
        <v>99</v>
      </c>
    </row>
    <row r="147">
      <c r="B147">
        <f>Table1[[#This Row],[Cost Center Name]]&amp;Table1[[#This Row],[Job Name]]&amp;" "&amp;"-"&amp;" "&amp;Table1[[#This Row],[Job Code]]</f>
        <v/>
      </c>
      <c r="C147" t="inlineStr">
        <is>
          <t>US</t>
        </is>
      </c>
      <c r="D147" t="inlineStr">
        <is>
          <t>USD</t>
        </is>
      </c>
      <c r="E147" t="inlineStr">
        <is>
          <t xml:space="preserve">Infrastructure Services </t>
        </is>
      </c>
      <c r="F147" s="81" t="inlineStr">
        <is>
          <t>IS DS Allctd</t>
        </is>
      </c>
      <c r="G147" s="81" t="n">
        <v>100174</v>
      </c>
      <c r="H147" t="inlineStr">
        <is>
          <t>Training.Sr Engineer</t>
        </is>
      </c>
      <c r="I147" t="inlineStr">
        <is>
          <t>$</t>
        </is>
      </c>
      <c r="J147" s="81" t="n">
        <v>166.5</v>
      </c>
    </row>
    <row r="148">
      <c r="B148">
        <f>Table1[[#This Row],[Cost Center Name]]&amp;Table1[[#This Row],[Job Name]]&amp;" "&amp;"-"&amp;" "&amp;Table1[[#This Row],[Job Code]]</f>
        <v/>
      </c>
      <c r="C148" t="inlineStr">
        <is>
          <t>US</t>
        </is>
      </c>
      <c r="D148" t="inlineStr">
        <is>
          <t>USD</t>
        </is>
      </c>
      <c r="E148" t="inlineStr">
        <is>
          <t xml:space="preserve">Infrastructure Services </t>
        </is>
      </c>
      <c r="F148" s="81" t="inlineStr">
        <is>
          <t>IS DS Automation</t>
        </is>
      </c>
      <c r="G148" s="81" t="n">
        <v>100153</v>
      </c>
      <c r="H148" t="inlineStr">
        <is>
          <t>R&amp;S.Sr Engineer</t>
        </is>
      </c>
      <c r="I148" t="inlineStr">
        <is>
          <t>$</t>
        </is>
      </c>
      <c r="J148" s="81" t="n">
        <v>194.4</v>
      </c>
    </row>
    <row r="149">
      <c r="B149">
        <f>Table1[[#This Row],[Cost Center Name]]&amp;Table1[[#This Row],[Job Name]]&amp;" "&amp;"-"&amp;" "&amp;Table1[[#This Row],[Job Code]]</f>
        <v/>
      </c>
      <c r="C149" t="inlineStr">
        <is>
          <t>US</t>
        </is>
      </c>
      <c r="D149" t="inlineStr">
        <is>
          <t>USD</t>
        </is>
      </c>
      <c r="E149" t="inlineStr">
        <is>
          <t xml:space="preserve">Infrastructure Services </t>
        </is>
      </c>
      <c r="F149" s="81" t="inlineStr">
        <is>
          <t>IS DS Automation</t>
        </is>
      </c>
      <c r="G149" s="81" t="n">
        <v>100261</v>
      </c>
      <c r="H149" t="inlineStr">
        <is>
          <t>Automation.Engineer</t>
        </is>
      </c>
      <c r="I149" t="inlineStr">
        <is>
          <t>$</t>
        </is>
      </c>
      <c r="J149" s="81" t="n">
        <v>167.67</v>
      </c>
    </row>
    <row r="150">
      <c r="B150">
        <f>Table1[[#This Row],[Cost Center Name]]&amp;Table1[[#This Row],[Job Name]]&amp;" "&amp;"-"&amp;" "&amp;Table1[[#This Row],[Job Code]]</f>
        <v/>
      </c>
      <c r="C150" t="inlineStr">
        <is>
          <t>US</t>
        </is>
      </c>
      <c r="D150" t="inlineStr">
        <is>
          <t>USD</t>
        </is>
      </c>
      <c r="E150" t="inlineStr">
        <is>
          <t xml:space="preserve">Infrastructure Services </t>
        </is>
      </c>
      <c r="F150" s="81" t="inlineStr">
        <is>
          <t>IS DS Automation</t>
        </is>
      </c>
      <c r="G150" s="81" t="n">
        <v>100262</v>
      </c>
      <c r="H150" t="inlineStr">
        <is>
          <t>Automation.Architect</t>
        </is>
      </c>
      <c r="I150" t="inlineStr">
        <is>
          <t>$</t>
        </is>
      </c>
      <c r="J150" s="81" t="n">
        <v>218.7</v>
      </c>
    </row>
    <row r="151">
      <c r="B151">
        <f>Table1[[#This Row],[Cost Center Name]]&amp;Table1[[#This Row],[Job Name]]&amp;" "&amp;"-"&amp;" "&amp;Table1[[#This Row],[Job Code]]</f>
        <v/>
      </c>
      <c r="C151" t="inlineStr">
        <is>
          <t>US</t>
        </is>
      </c>
      <c r="D151" t="inlineStr">
        <is>
          <t>USD</t>
        </is>
      </c>
      <c r="E151" t="inlineStr">
        <is>
          <t xml:space="preserve">Infrastructure Services </t>
        </is>
      </c>
      <c r="F151" s="81" t="inlineStr">
        <is>
          <t>IS DS Automation</t>
        </is>
      </c>
      <c r="G151" s="81" t="n">
        <v>100272</v>
      </c>
      <c r="H151" t="inlineStr">
        <is>
          <t>Automation.Sr Engineer</t>
        </is>
      </c>
      <c r="I151" t="inlineStr">
        <is>
          <t>$</t>
        </is>
      </c>
      <c r="J151" s="81" t="n">
        <v>182.25</v>
      </c>
    </row>
    <row r="152">
      <c r="B152">
        <f>Table1[[#This Row],[Cost Center Name]]&amp;Table1[[#This Row],[Job Name]]&amp;" "&amp;"-"&amp;" "&amp;Table1[[#This Row],[Job Code]]</f>
        <v/>
      </c>
      <c r="C152" t="inlineStr">
        <is>
          <t>US</t>
        </is>
      </c>
      <c r="D152" t="inlineStr">
        <is>
          <t>USD</t>
        </is>
      </c>
      <c r="E152" t="inlineStr">
        <is>
          <t xml:space="preserve">Infrastructure Services </t>
        </is>
      </c>
      <c r="F152" s="81" t="inlineStr">
        <is>
          <t>IS DS CommonSpirit PMO</t>
        </is>
      </c>
      <c r="G152" s="81" t="n">
        <v>100138</v>
      </c>
      <c r="H152" t="inlineStr">
        <is>
          <t>Project Management.PgM</t>
        </is>
      </c>
      <c r="I152" t="inlineStr">
        <is>
          <t>$</t>
        </is>
      </c>
      <c r="J152" s="81" t="n">
        <v>141.75</v>
      </c>
    </row>
    <row r="153">
      <c r="B153">
        <f>Table1[[#This Row],[Cost Center Name]]&amp;Table1[[#This Row],[Job Name]]&amp;" "&amp;"-"&amp;" "&amp;Table1[[#This Row],[Job Code]]</f>
        <v/>
      </c>
      <c r="C153" t="inlineStr">
        <is>
          <t>US</t>
        </is>
      </c>
      <c r="D153" t="inlineStr">
        <is>
          <t>USD</t>
        </is>
      </c>
      <c r="E153" t="inlineStr">
        <is>
          <t xml:space="preserve">Infrastructure Services </t>
        </is>
      </c>
      <c r="F153" s="81" t="inlineStr">
        <is>
          <t>IS DS Ddctd Principal Archtcts</t>
        </is>
      </c>
      <c r="G153" s="81" t="n">
        <v>100305</v>
      </c>
      <c r="H153" t="inlineStr">
        <is>
          <t>Principal.Architect</t>
        </is>
      </c>
      <c r="I153" t="inlineStr">
        <is>
          <t>$</t>
        </is>
      </c>
      <c r="J153" s="81" t="n">
        <v>162.8</v>
      </c>
    </row>
    <row r="154">
      <c r="B154">
        <f>Table1[[#This Row],[Cost Center Name]]&amp;Table1[[#This Row],[Job Name]]&amp;" "&amp;"-"&amp;" "&amp;Table1[[#This Row],[Job Code]]</f>
        <v/>
      </c>
      <c r="C154" t="inlineStr">
        <is>
          <t>US</t>
        </is>
      </c>
      <c r="D154" t="inlineStr">
        <is>
          <t>USD</t>
        </is>
      </c>
      <c r="E154" t="inlineStr">
        <is>
          <t xml:space="preserve">Infrastructure Services </t>
        </is>
      </c>
      <c r="F154" s="81" t="inlineStr">
        <is>
          <t>IS DS Dedicated Architects</t>
        </is>
      </c>
      <c r="G154" s="81" t="n">
        <v>100080</v>
      </c>
      <c r="H154" t="inlineStr">
        <is>
          <t>Data Center.Architect</t>
        </is>
      </c>
      <c r="I154" t="inlineStr">
        <is>
          <t>$</t>
        </is>
      </c>
      <c r="J154" s="81" t="n">
        <v>157.25</v>
      </c>
    </row>
    <row r="155">
      <c r="B155">
        <f>Table1[[#This Row],[Cost Center Name]]&amp;Table1[[#This Row],[Job Name]]&amp;" "&amp;"-"&amp;" "&amp;Table1[[#This Row],[Job Code]]</f>
        <v/>
      </c>
      <c r="C155" t="inlineStr">
        <is>
          <t>US</t>
        </is>
      </c>
      <c r="D155" t="inlineStr">
        <is>
          <t>USD</t>
        </is>
      </c>
      <c r="E155" t="inlineStr">
        <is>
          <t xml:space="preserve">Infrastructure Services </t>
        </is>
      </c>
      <c r="F155" s="81" t="inlineStr">
        <is>
          <t>IS DS Dedicated Architects</t>
        </is>
      </c>
      <c r="G155" s="81" t="n">
        <v>100151</v>
      </c>
      <c r="H155" t="inlineStr">
        <is>
          <t>R&amp;S.Architect</t>
        </is>
      </c>
      <c r="I155" t="inlineStr">
        <is>
          <t>$</t>
        </is>
      </c>
      <c r="J155" s="81" t="n">
        <v>160.95</v>
      </c>
    </row>
    <row r="156">
      <c r="B156">
        <f>Table1[[#This Row],[Cost Center Name]]&amp;Table1[[#This Row],[Job Name]]&amp;" "&amp;"-"&amp;" "&amp;Table1[[#This Row],[Job Code]]</f>
        <v/>
      </c>
      <c r="C156" t="inlineStr">
        <is>
          <t>US</t>
        </is>
      </c>
      <c r="D156" t="inlineStr">
        <is>
          <t>USD</t>
        </is>
      </c>
      <c r="E156" t="inlineStr">
        <is>
          <t xml:space="preserve">Infrastructure Services </t>
        </is>
      </c>
      <c r="F156" s="81" t="inlineStr">
        <is>
          <t>IS DS Dedicated Architects</t>
        </is>
      </c>
      <c r="G156" s="81" t="n">
        <v>100176</v>
      </c>
      <c r="H156" t="inlineStr">
        <is>
          <t>Voice.Architect</t>
        </is>
      </c>
      <c r="I156" t="inlineStr">
        <is>
          <t>$</t>
        </is>
      </c>
      <c r="J156" s="81" t="n">
        <v>164.65</v>
      </c>
    </row>
    <row r="157">
      <c r="B157">
        <f>Table1[[#This Row],[Cost Center Name]]&amp;Table1[[#This Row],[Job Name]]&amp;" "&amp;"-"&amp;" "&amp;Table1[[#This Row],[Job Code]]</f>
        <v/>
      </c>
      <c r="C157" t="inlineStr">
        <is>
          <t>US</t>
        </is>
      </c>
      <c r="D157" t="inlineStr">
        <is>
          <t>USD</t>
        </is>
      </c>
      <c r="E157" t="inlineStr">
        <is>
          <t xml:space="preserve">Infrastructure Services </t>
        </is>
      </c>
      <c r="F157" s="81" t="inlineStr">
        <is>
          <t>IS DS Dedicated Architects</t>
        </is>
      </c>
      <c r="G157" s="81" t="n">
        <v>100282</v>
      </c>
      <c r="H157" t="inlineStr">
        <is>
          <t>Optical.Architect</t>
        </is>
      </c>
      <c r="I157" t="inlineStr">
        <is>
          <t>$</t>
        </is>
      </c>
      <c r="J157" s="81" t="n">
        <v>146.15</v>
      </c>
    </row>
    <row r="158">
      <c r="B158">
        <f>Table1[[#This Row],[Cost Center Name]]&amp;Table1[[#This Row],[Job Name]]&amp;" "&amp;"-"&amp;" "&amp;Table1[[#This Row],[Job Code]]</f>
        <v/>
      </c>
      <c r="C158" t="inlineStr">
        <is>
          <t>US</t>
        </is>
      </c>
      <c r="D158" t="inlineStr">
        <is>
          <t>USD</t>
        </is>
      </c>
      <c r="E158" t="inlineStr">
        <is>
          <t xml:space="preserve">Infrastructure Services </t>
        </is>
      </c>
      <c r="F158" s="81" t="inlineStr">
        <is>
          <t>IS DS Dedicated Eng</t>
        </is>
      </c>
      <c r="G158" s="81" t="n">
        <v>100082</v>
      </c>
      <c r="H158" t="inlineStr">
        <is>
          <t>Data Center.Sr Engineer</t>
        </is>
      </c>
      <c r="I158" t="inlineStr">
        <is>
          <t>$</t>
        </is>
      </c>
      <c r="J158" s="81" t="n">
        <v>140.6</v>
      </c>
    </row>
    <row r="159">
      <c r="B159">
        <f>Table1[[#This Row],[Cost Center Name]]&amp;Table1[[#This Row],[Job Name]]&amp;" "&amp;"-"&amp;" "&amp;Table1[[#This Row],[Job Code]]</f>
        <v/>
      </c>
      <c r="C159" t="inlineStr">
        <is>
          <t>US</t>
        </is>
      </c>
      <c r="D159" t="inlineStr">
        <is>
          <t>USD</t>
        </is>
      </c>
      <c r="E159" t="inlineStr">
        <is>
          <t xml:space="preserve">Infrastructure Services </t>
        </is>
      </c>
      <c r="F159" s="81" t="inlineStr">
        <is>
          <t>IS DS Dedicated Eng</t>
        </is>
      </c>
      <c r="G159" s="81" t="n">
        <v>100110</v>
      </c>
      <c r="H159" t="inlineStr">
        <is>
          <t>EUC.Sr Engineer</t>
        </is>
      </c>
      <c r="I159" t="inlineStr">
        <is>
          <t>$</t>
        </is>
      </c>
      <c r="J159" s="81" t="n">
        <v>123.95</v>
      </c>
    </row>
    <row r="160">
      <c r="B160">
        <f>Table1[[#This Row],[Cost Center Name]]&amp;Table1[[#This Row],[Job Name]]&amp;" "&amp;"-"&amp;" "&amp;Table1[[#This Row],[Job Code]]</f>
        <v/>
      </c>
      <c r="C160" t="inlineStr">
        <is>
          <t>US</t>
        </is>
      </c>
      <c r="D160" t="inlineStr">
        <is>
          <t>USD</t>
        </is>
      </c>
      <c r="E160" t="inlineStr">
        <is>
          <t xml:space="preserve">Infrastructure Services </t>
        </is>
      </c>
      <c r="F160" s="81" t="inlineStr">
        <is>
          <t>IS DS Dedicated Eng</t>
        </is>
      </c>
      <c r="G160" s="81" t="n">
        <v>100152</v>
      </c>
      <c r="H160" t="inlineStr">
        <is>
          <t>R&amp;S.Engineer</t>
        </is>
      </c>
      <c r="I160" t="inlineStr">
        <is>
          <t>$</t>
        </is>
      </c>
      <c r="J160" s="81" t="n">
        <v>107.3</v>
      </c>
    </row>
    <row r="161">
      <c r="B161">
        <f>Table1[[#This Row],[Cost Center Name]]&amp;Table1[[#This Row],[Job Name]]&amp;" "&amp;"-"&amp;" "&amp;Table1[[#This Row],[Job Code]]</f>
        <v/>
      </c>
      <c r="C161" t="inlineStr">
        <is>
          <t>US</t>
        </is>
      </c>
      <c r="D161" t="inlineStr">
        <is>
          <t>USD</t>
        </is>
      </c>
      <c r="E161" t="inlineStr">
        <is>
          <t xml:space="preserve">Infrastructure Services </t>
        </is>
      </c>
      <c r="F161" s="81" t="inlineStr">
        <is>
          <t>IS DS Dedicated Eng</t>
        </is>
      </c>
      <c r="G161" s="81" t="n">
        <v>100153</v>
      </c>
      <c r="H161" t="inlineStr">
        <is>
          <t>R&amp;S.Sr Engineer</t>
        </is>
      </c>
      <c r="I161" t="inlineStr">
        <is>
          <t>$</t>
        </is>
      </c>
      <c r="J161" s="81" t="n">
        <v>148</v>
      </c>
    </row>
    <row r="162">
      <c r="B162">
        <f>Table1[[#This Row],[Cost Center Name]]&amp;Table1[[#This Row],[Job Name]]&amp;" "&amp;"-"&amp;" "&amp;Table1[[#This Row],[Job Code]]</f>
        <v/>
      </c>
      <c r="C162" t="inlineStr">
        <is>
          <t>US</t>
        </is>
      </c>
      <c r="D162" t="inlineStr">
        <is>
          <t>USD</t>
        </is>
      </c>
      <c r="E162" t="inlineStr">
        <is>
          <t xml:space="preserve">Infrastructure Services </t>
        </is>
      </c>
      <c r="F162" s="81" t="inlineStr">
        <is>
          <t>IS DS Dedicated Eng</t>
        </is>
      </c>
      <c r="G162" s="81" t="n">
        <v>100160</v>
      </c>
      <c r="H162" t="inlineStr">
        <is>
          <t>Security.Sr Engineer</t>
        </is>
      </c>
      <c r="I162" t="inlineStr">
        <is>
          <t>$</t>
        </is>
      </c>
      <c r="J162" s="81" t="n">
        <v>146.15</v>
      </c>
    </row>
    <row r="163">
      <c r="B163">
        <f>Table1[[#This Row],[Cost Center Name]]&amp;Table1[[#This Row],[Job Name]]&amp;" "&amp;"-"&amp;" "&amp;Table1[[#This Row],[Job Code]]</f>
        <v/>
      </c>
      <c r="C163" t="inlineStr">
        <is>
          <t>US</t>
        </is>
      </c>
      <c r="D163" t="inlineStr">
        <is>
          <t>USD</t>
        </is>
      </c>
      <c r="E163" t="inlineStr">
        <is>
          <t xml:space="preserve">Infrastructure Services </t>
        </is>
      </c>
      <c r="F163" s="81" t="inlineStr">
        <is>
          <t>IS DS Dedicated Eng</t>
        </is>
      </c>
      <c r="G163" s="81" t="n">
        <v>100177</v>
      </c>
      <c r="H163" t="inlineStr">
        <is>
          <t>Voice.Engineer</t>
        </is>
      </c>
      <c r="I163" t="inlineStr">
        <is>
          <t>$</t>
        </is>
      </c>
      <c r="J163" s="81" t="n">
        <v>116.55</v>
      </c>
    </row>
    <row r="164">
      <c r="B164">
        <f>Table1[[#This Row],[Cost Center Name]]&amp;Table1[[#This Row],[Job Name]]&amp;" "&amp;"-"&amp;" "&amp;Table1[[#This Row],[Job Code]]</f>
        <v/>
      </c>
      <c r="C164" t="inlineStr">
        <is>
          <t>US</t>
        </is>
      </c>
      <c r="D164" t="inlineStr">
        <is>
          <t>USD</t>
        </is>
      </c>
      <c r="E164" t="inlineStr">
        <is>
          <t xml:space="preserve">Infrastructure Services </t>
        </is>
      </c>
      <c r="F164" s="81" t="inlineStr">
        <is>
          <t>IS DS Dedicated Eng</t>
        </is>
      </c>
      <c r="G164" s="81" t="n">
        <v>100178</v>
      </c>
      <c r="H164" t="inlineStr">
        <is>
          <t>Voice.Sr Engineer</t>
        </is>
      </c>
      <c r="I164" t="inlineStr">
        <is>
          <t>$</t>
        </is>
      </c>
      <c r="J164" s="81" t="n">
        <v>142.45</v>
      </c>
    </row>
    <row r="165">
      <c r="B165">
        <f>Table1[[#This Row],[Cost Center Name]]&amp;Table1[[#This Row],[Job Name]]&amp;" "&amp;"-"&amp;" "&amp;Table1[[#This Row],[Job Code]]</f>
        <v/>
      </c>
      <c r="C165" t="inlineStr">
        <is>
          <t>US</t>
        </is>
      </c>
      <c r="D165" t="inlineStr">
        <is>
          <t>USD</t>
        </is>
      </c>
      <c r="E165" t="inlineStr">
        <is>
          <t xml:space="preserve">Infrastructure Services </t>
        </is>
      </c>
      <c r="F165" s="81" t="inlineStr">
        <is>
          <t>IS DS Dedicated Eng</t>
        </is>
      </c>
      <c r="G165" s="81" t="n">
        <v>100179</v>
      </c>
      <c r="H165" t="inlineStr">
        <is>
          <t>Voice.Sr Engineer UCCE</t>
        </is>
      </c>
      <c r="I165" t="inlineStr">
        <is>
          <t>$</t>
        </is>
      </c>
      <c r="J165" s="81" t="n">
        <v>164.65</v>
      </c>
    </row>
    <row r="166">
      <c r="B166">
        <f>Table1[[#This Row],[Cost Center Name]]&amp;Table1[[#This Row],[Job Name]]&amp;" "&amp;"-"&amp;" "&amp;Table1[[#This Row],[Job Code]]</f>
        <v/>
      </c>
      <c r="C166" t="inlineStr">
        <is>
          <t>US</t>
        </is>
      </c>
      <c r="D166" t="inlineStr">
        <is>
          <t>USD</t>
        </is>
      </c>
      <c r="E166" t="inlineStr">
        <is>
          <t xml:space="preserve">Infrastructure Services </t>
        </is>
      </c>
      <c r="F166" s="81" t="inlineStr">
        <is>
          <t>IS DS Dedicated Eng</t>
        </is>
      </c>
      <c r="G166" s="81" t="n">
        <v>100182</v>
      </c>
      <c r="H166" t="inlineStr">
        <is>
          <t>Wireless.Sr Engineer</t>
        </is>
      </c>
      <c r="I166" t="inlineStr">
        <is>
          <t>$</t>
        </is>
      </c>
      <c r="J166" s="81" t="n">
        <v>131.35</v>
      </c>
    </row>
    <row r="167">
      <c r="B167">
        <f>Table1[[#This Row],[Cost Center Name]]&amp;Table1[[#This Row],[Job Name]]&amp;" "&amp;"-"&amp;" "&amp;Table1[[#This Row],[Job Code]]</f>
        <v/>
      </c>
      <c r="C167" t="inlineStr">
        <is>
          <t>US</t>
        </is>
      </c>
      <c r="D167" t="inlineStr">
        <is>
          <t>USD</t>
        </is>
      </c>
      <c r="E167" t="inlineStr">
        <is>
          <t xml:space="preserve">Infrastructure Services </t>
        </is>
      </c>
      <c r="F167" s="81" t="inlineStr">
        <is>
          <t>IS DS Dedicated Eng</t>
        </is>
      </c>
      <c r="G167" s="81" t="n">
        <v>100261</v>
      </c>
      <c r="H167" t="inlineStr">
        <is>
          <t>Automation.Engineer</t>
        </is>
      </c>
      <c r="I167" t="inlineStr">
        <is>
          <t>$</t>
        </is>
      </c>
      <c r="J167" s="81" t="n">
        <v>127.65</v>
      </c>
    </row>
    <row r="168">
      <c r="B168">
        <f>Table1[[#This Row],[Cost Center Name]]&amp;Table1[[#This Row],[Job Name]]&amp;" "&amp;"-"&amp;" "&amp;Table1[[#This Row],[Job Code]]</f>
        <v/>
      </c>
      <c r="C168" t="inlineStr">
        <is>
          <t>US</t>
        </is>
      </c>
      <c r="D168" t="inlineStr">
        <is>
          <t>USD</t>
        </is>
      </c>
      <c r="E168" t="inlineStr">
        <is>
          <t xml:space="preserve">Infrastructure Services </t>
        </is>
      </c>
      <c r="F168" s="81" t="inlineStr">
        <is>
          <t>IS DS Dedicated Eng</t>
        </is>
      </c>
      <c r="G168" s="81" t="n">
        <v>100262</v>
      </c>
      <c r="H168" t="inlineStr">
        <is>
          <t>Automation.Architect</t>
        </is>
      </c>
      <c r="I168" t="inlineStr">
        <is>
          <t>$</t>
        </is>
      </c>
      <c r="J168" s="81" t="n">
        <v>166.5</v>
      </c>
    </row>
    <row r="169">
      <c r="B169">
        <f>Table1[[#This Row],[Cost Center Name]]&amp;Table1[[#This Row],[Job Name]]&amp;" "&amp;"-"&amp;" "&amp;Table1[[#This Row],[Job Code]]</f>
        <v/>
      </c>
      <c r="C169" t="inlineStr">
        <is>
          <t>US</t>
        </is>
      </c>
      <c r="D169" t="inlineStr">
        <is>
          <t>USD</t>
        </is>
      </c>
      <c r="E169" t="inlineStr">
        <is>
          <t xml:space="preserve">Infrastructure Services </t>
        </is>
      </c>
      <c r="F169" s="81" t="inlineStr">
        <is>
          <t>IS DS Dedicated PMO</t>
        </is>
      </c>
      <c r="G169" s="81" t="n">
        <v>100138</v>
      </c>
      <c r="H169" t="inlineStr">
        <is>
          <t>Project Management.PgM</t>
        </is>
      </c>
      <c r="I169" t="inlineStr">
        <is>
          <t>$</t>
        </is>
      </c>
      <c r="J169" s="81" t="n">
        <v>143.25</v>
      </c>
    </row>
    <row r="170">
      <c r="B170">
        <f>Table1[[#This Row],[Cost Center Name]]&amp;Table1[[#This Row],[Job Name]]&amp;" "&amp;"-"&amp;" "&amp;Table1[[#This Row],[Job Code]]</f>
        <v/>
      </c>
      <c r="C170" t="inlineStr">
        <is>
          <t>US</t>
        </is>
      </c>
      <c r="D170" t="inlineStr">
        <is>
          <t>USD</t>
        </is>
      </c>
      <c r="E170" t="inlineStr">
        <is>
          <t xml:space="preserve">Infrastructure Services </t>
        </is>
      </c>
      <c r="F170" s="81" t="inlineStr">
        <is>
          <t>IS DS Dedicated PMO</t>
        </is>
      </c>
      <c r="G170" s="81" t="n">
        <v>100139</v>
      </c>
      <c r="H170" t="inlineStr">
        <is>
          <t>Project Management.PM</t>
        </is>
      </c>
      <c r="I170" t="inlineStr">
        <is>
          <t>$</t>
        </is>
      </c>
      <c r="J170" s="81" t="n">
        <v>87.86</v>
      </c>
    </row>
    <row r="171">
      <c r="B171">
        <f>Table1[[#This Row],[Cost Center Name]]&amp;Table1[[#This Row],[Job Name]]&amp;" "&amp;"-"&amp;" "&amp;Table1[[#This Row],[Job Code]]</f>
        <v/>
      </c>
      <c r="C171" t="inlineStr">
        <is>
          <t>US</t>
        </is>
      </c>
      <c r="D171" t="inlineStr">
        <is>
          <t>USD</t>
        </is>
      </c>
      <c r="E171" t="inlineStr">
        <is>
          <t xml:space="preserve">Infrastructure Services </t>
        </is>
      </c>
      <c r="F171" s="81" t="inlineStr">
        <is>
          <t>IS DS Dedicated PMO</t>
        </is>
      </c>
      <c r="G171" s="81" t="n">
        <v>100140</v>
      </c>
      <c r="H171" t="inlineStr">
        <is>
          <t>Project Management.Proj Coor</t>
        </is>
      </c>
      <c r="I171" t="inlineStr">
        <is>
          <t>$</t>
        </is>
      </c>
      <c r="J171" s="81" t="n">
        <v>61.12</v>
      </c>
    </row>
    <row r="172">
      <c r="B172">
        <f>Table1[[#This Row],[Cost Center Name]]&amp;Table1[[#This Row],[Job Name]]&amp;" "&amp;"-"&amp;" "&amp;Table1[[#This Row],[Job Code]]</f>
        <v/>
      </c>
      <c r="C172" t="inlineStr">
        <is>
          <t>US</t>
        </is>
      </c>
      <c r="D172" t="inlineStr">
        <is>
          <t>USD</t>
        </is>
      </c>
      <c r="E172" t="inlineStr">
        <is>
          <t xml:space="preserve">Infrastructure Services </t>
        </is>
      </c>
      <c r="F172" s="81" t="inlineStr">
        <is>
          <t>IS DS Dedicated PMO</t>
        </is>
      </c>
      <c r="G172" s="81" t="n">
        <v>100142</v>
      </c>
      <c r="H172" t="inlineStr">
        <is>
          <t>Project Management.Sr PM</t>
        </is>
      </c>
      <c r="I172" t="inlineStr">
        <is>
          <t>$</t>
        </is>
      </c>
      <c r="J172" s="81" t="n">
        <v>124.15</v>
      </c>
    </row>
    <row r="173">
      <c r="B173">
        <f>Table1[[#This Row],[Cost Center Name]]&amp;Table1[[#This Row],[Job Name]]&amp;" "&amp;"-"&amp;" "&amp;Table1[[#This Row],[Job Code]]</f>
        <v/>
      </c>
      <c r="C173" t="inlineStr">
        <is>
          <t>US</t>
        </is>
      </c>
      <c r="D173" t="inlineStr">
        <is>
          <t>USD</t>
        </is>
      </c>
      <c r="E173" t="inlineStr">
        <is>
          <t xml:space="preserve">Infrastructure Services </t>
        </is>
      </c>
      <c r="F173" s="81" t="inlineStr">
        <is>
          <t>IS DS Domain Architects</t>
        </is>
      </c>
      <c r="G173" s="81" t="n">
        <v>100055</v>
      </c>
      <c r="H173" t="inlineStr">
        <is>
          <t>Command Center.Architect</t>
        </is>
      </c>
      <c r="I173" t="inlineStr">
        <is>
          <t>$</t>
        </is>
      </c>
      <c r="J173" s="81" t="n">
        <v>190.96</v>
      </c>
    </row>
    <row r="174">
      <c r="B174">
        <f>Table1[[#This Row],[Cost Center Name]]&amp;Table1[[#This Row],[Job Name]]&amp;" "&amp;"-"&amp;" "&amp;Table1[[#This Row],[Job Code]]</f>
        <v/>
      </c>
      <c r="C174" t="inlineStr">
        <is>
          <t>US</t>
        </is>
      </c>
      <c r="D174" t="inlineStr">
        <is>
          <t>USD</t>
        </is>
      </c>
      <c r="E174" t="inlineStr">
        <is>
          <t xml:space="preserve">Infrastructure Services </t>
        </is>
      </c>
      <c r="F174" s="81" t="inlineStr">
        <is>
          <t>IS DS Domain Architects</t>
        </is>
      </c>
      <c r="G174" s="81" t="n">
        <v>100080</v>
      </c>
      <c r="H174" t="inlineStr">
        <is>
          <t>Data Center.Architect</t>
        </is>
      </c>
      <c r="I174" t="inlineStr">
        <is>
          <t>$</t>
        </is>
      </c>
      <c r="J174" s="81" t="n">
        <v>210.8</v>
      </c>
    </row>
    <row r="175">
      <c r="B175">
        <f>Table1[[#This Row],[Cost Center Name]]&amp;Table1[[#This Row],[Job Name]]&amp;" "&amp;"-"&amp;" "&amp;Table1[[#This Row],[Job Code]]</f>
        <v/>
      </c>
      <c r="C175" t="inlineStr">
        <is>
          <t>US</t>
        </is>
      </c>
      <c r="D175" t="inlineStr">
        <is>
          <t>USD</t>
        </is>
      </c>
      <c r="E175" t="inlineStr">
        <is>
          <t xml:space="preserve">Infrastructure Services </t>
        </is>
      </c>
      <c r="F175" s="81" t="inlineStr">
        <is>
          <t>IS DS Domain Architects</t>
        </is>
      </c>
      <c r="G175" s="81" t="n">
        <v>100151</v>
      </c>
      <c r="H175" t="inlineStr">
        <is>
          <t>R&amp;S.Architect</t>
        </is>
      </c>
      <c r="I175" t="inlineStr">
        <is>
          <t>$</t>
        </is>
      </c>
      <c r="J175" s="81" t="n">
        <v>215.76</v>
      </c>
    </row>
    <row r="176">
      <c r="B176">
        <f>Table1[[#This Row],[Cost Center Name]]&amp;Table1[[#This Row],[Job Name]]&amp;" "&amp;"-"&amp;" "&amp;Table1[[#This Row],[Job Code]]</f>
        <v/>
      </c>
      <c r="C176" t="inlineStr">
        <is>
          <t>US</t>
        </is>
      </c>
      <c r="D176" t="inlineStr">
        <is>
          <t>USD</t>
        </is>
      </c>
      <c r="E176" t="inlineStr">
        <is>
          <t xml:space="preserve">Infrastructure Services </t>
        </is>
      </c>
      <c r="F176" s="81" t="inlineStr">
        <is>
          <t>IS DS Domain Architects</t>
        </is>
      </c>
      <c r="G176" s="81" t="n">
        <v>100153</v>
      </c>
      <c r="H176" t="inlineStr">
        <is>
          <t>R&amp;S.Sr Engineer</t>
        </is>
      </c>
      <c r="I176" t="inlineStr">
        <is>
          <t>$</t>
        </is>
      </c>
      <c r="J176" s="81" t="n">
        <v>198.4</v>
      </c>
    </row>
    <row r="177">
      <c r="B177">
        <f>Table1[[#This Row],[Cost Center Name]]&amp;Table1[[#This Row],[Job Name]]&amp;" "&amp;"-"&amp;" "&amp;Table1[[#This Row],[Job Code]]</f>
        <v/>
      </c>
      <c r="C177" t="inlineStr">
        <is>
          <t>US</t>
        </is>
      </c>
      <c r="D177" t="inlineStr">
        <is>
          <t>USD</t>
        </is>
      </c>
      <c r="E177" t="inlineStr">
        <is>
          <t xml:space="preserve">Infrastructure Services </t>
        </is>
      </c>
      <c r="F177" s="81" t="inlineStr">
        <is>
          <t>IS DS Domain Architects</t>
        </is>
      </c>
      <c r="G177" s="81" t="n">
        <v>100155</v>
      </c>
      <c r="H177" t="inlineStr">
        <is>
          <t>Security.Architect</t>
        </is>
      </c>
      <c r="I177" t="inlineStr">
        <is>
          <t>$</t>
        </is>
      </c>
      <c r="J177" s="81" t="n">
        <v>220.72</v>
      </c>
    </row>
    <row r="178">
      <c r="B178">
        <f>Table1[[#This Row],[Cost Center Name]]&amp;Table1[[#This Row],[Job Name]]&amp;" "&amp;"-"&amp;" "&amp;Table1[[#This Row],[Job Code]]</f>
        <v/>
      </c>
      <c r="C178" t="inlineStr">
        <is>
          <t>US</t>
        </is>
      </c>
      <c r="D178" t="inlineStr">
        <is>
          <t>USD</t>
        </is>
      </c>
      <c r="E178" t="inlineStr">
        <is>
          <t xml:space="preserve">Infrastructure Services </t>
        </is>
      </c>
      <c r="F178" s="81" t="inlineStr">
        <is>
          <t>IS DS Domain Architects</t>
        </is>
      </c>
      <c r="G178" s="81" t="n">
        <v>100176</v>
      </c>
      <c r="H178" t="inlineStr">
        <is>
          <t>Voice.Architect</t>
        </is>
      </c>
      <c r="I178" t="inlineStr">
        <is>
          <t>$</t>
        </is>
      </c>
      <c r="J178" s="81" t="n">
        <v>220.72</v>
      </c>
    </row>
    <row r="179">
      <c r="B179">
        <f>Table1[[#This Row],[Cost Center Name]]&amp;Table1[[#This Row],[Job Name]]&amp;" "&amp;"-"&amp;" "&amp;Table1[[#This Row],[Job Code]]</f>
        <v/>
      </c>
      <c r="C179" t="inlineStr">
        <is>
          <t>US</t>
        </is>
      </c>
      <c r="D179" t="inlineStr">
        <is>
          <t>USD</t>
        </is>
      </c>
      <c r="E179" t="inlineStr">
        <is>
          <t xml:space="preserve">Infrastructure Services </t>
        </is>
      </c>
      <c r="F179" s="81" t="inlineStr">
        <is>
          <t>IS DS Domain Architects</t>
        </is>
      </c>
      <c r="G179" s="81" t="n">
        <v>100219</v>
      </c>
      <c r="H179" t="inlineStr">
        <is>
          <t>Design.Architect</t>
        </is>
      </c>
      <c r="I179" t="inlineStr">
        <is>
          <t>$</t>
        </is>
      </c>
      <c r="J179" s="81" t="n">
        <v>215.76</v>
      </c>
    </row>
    <row r="180">
      <c r="B180">
        <f>Table1[[#This Row],[Cost Center Name]]&amp;Table1[[#This Row],[Job Name]]&amp;" "&amp;"-"&amp;" "&amp;Table1[[#This Row],[Job Code]]</f>
        <v/>
      </c>
      <c r="C180" t="inlineStr">
        <is>
          <t>US</t>
        </is>
      </c>
      <c r="D180" t="inlineStr">
        <is>
          <t>USD</t>
        </is>
      </c>
      <c r="E180" t="inlineStr">
        <is>
          <t xml:space="preserve">Infrastructure Services </t>
        </is>
      </c>
      <c r="F180" s="81" t="inlineStr">
        <is>
          <t>IS DS Domain Architects</t>
        </is>
      </c>
      <c r="G180" s="81" t="n">
        <v>100261</v>
      </c>
      <c r="H180" t="inlineStr">
        <is>
          <t>Automation.Engineer</t>
        </is>
      </c>
      <c r="I180" t="inlineStr">
        <is>
          <t>$</t>
        </is>
      </c>
      <c r="J180" s="81" t="n">
        <v>171.12</v>
      </c>
    </row>
    <row r="181">
      <c r="B181">
        <f>Table1[[#This Row],[Cost Center Name]]&amp;Table1[[#This Row],[Job Name]]&amp;" "&amp;"-"&amp;" "&amp;Table1[[#This Row],[Job Code]]</f>
        <v/>
      </c>
      <c r="C181" t="inlineStr">
        <is>
          <t>US</t>
        </is>
      </c>
      <c r="D181" t="inlineStr">
        <is>
          <t>USD</t>
        </is>
      </c>
      <c r="E181" t="inlineStr">
        <is>
          <t xml:space="preserve">Infrastructure Services </t>
        </is>
      </c>
      <c r="F181" s="81" t="inlineStr">
        <is>
          <t>IS DS Domain Architects</t>
        </is>
      </c>
      <c r="G181" s="81" t="n">
        <v>100282</v>
      </c>
      <c r="H181" t="inlineStr">
        <is>
          <t>Optical.Architect</t>
        </is>
      </c>
      <c r="I181" t="inlineStr">
        <is>
          <t>$</t>
        </is>
      </c>
      <c r="J181" s="81" t="n">
        <v>195.92</v>
      </c>
    </row>
    <row r="182">
      <c r="B182">
        <f>Table1[[#This Row],[Cost Center Name]]&amp;Table1[[#This Row],[Job Name]]&amp;" "&amp;"-"&amp;" "&amp;Table1[[#This Row],[Job Code]]</f>
        <v/>
      </c>
      <c r="C182" t="inlineStr">
        <is>
          <t>US</t>
        </is>
      </c>
      <c r="D182" t="inlineStr">
        <is>
          <t>USD</t>
        </is>
      </c>
      <c r="E182" t="inlineStr">
        <is>
          <t xml:space="preserve">Infrastructure Services </t>
        </is>
      </c>
      <c r="F182" s="81" t="inlineStr">
        <is>
          <t>IS DS Engineering</t>
        </is>
      </c>
      <c r="G182" s="81" t="n">
        <v>100081</v>
      </c>
      <c r="H182" t="inlineStr">
        <is>
          <t>Data Center.Engineer</t>
        </is>
      </c>
      <c r="I182" t="inlineStr">
        <is>
          <t>$</t>
        </is>
      </c>
      <c r="J182" s="81" t="n">
        <v>132</v>
      </c>
    </row>
    <row r="183">
      <c r="B183">
        <f>Table1[[#This Row],[Cost Center Name]]&amp;Table1[[#This Row],[Job Name]]&amp;" "&amp;"-"&amp;" "&amp;Table1[[#This Row],[Job Code]]</f>
        <v/>
      </c>
      <c r="C183" t="inlineStr">
        <is>
          <t>US</t>
        </is>
      </c>
      <c r="D183" t="inlineStr">
        <is>
          <t>USD</t>
        </is>
      </c>
      <c r="E183" t="inlineStr">
        <is>
          <t xml:space="preserve">Infrastructure Services </t>
        </is>
      </c>
      <c r="F183" s="81" t="inlineStr">
        <is>
          <t>IS DS Engineering</t>
        </is>
      </c>
      <c r="G183" s="81" t="n">
        <v>100082</v>
      </c>
      <c r="H183" t="inlineStr">
        <is>
          <t>Data Center.Sr Engineer</t>
        </is>
      </c>
      <c r="I183" t="inlineStr">
        <is>
          <t>$</t>
        </is>
      </c>
      <c r="J183" s="81" t="n">
        <v>182.4</v>
      </c>
    </row>
    <row r="184">
      <c r="B184">
        <f>Table1[[#This Row],[Cost Center Name]]&amp;Table1[[#This Row],[Job Name]]&amp;" "&amp;"-"&amp;" "&amp;Table1[[#This Row],[Job Code]]</f>
        <v/>
      </c>
      <c r="C184" t="inlineStr">
        <is>
          <t>US</t>
        </is>
      </c>
      <c r="D184" t="inlineStr">
        <is>
          <t>USD</t>
        </is>
      </c>
      <c r="E184" t="inlineStr">
        <is>
          <t xml:space="preserve">Infrastructure Services </t>
        </is>
      </c>
      <c r="F184" s="81" t="inlineStr">
        <is>
          <t>IS DS Engineering</t>
        </is>
      </c>
      <c r="G184" s="81" t="n">
        <v>100110</v>
      </c>
      <c r="H184" t="inlineStr">
        <is>
          <t>EUC.Sr Engineer</t>
        </is>
      </c>
      <c r="I184" t="inlineStr">
        <is>
          <t>$</t>
        </is>
      </c>
      <c r="J184" s="81" t="n">
        <v>160.8</v>
      </c>
    </row>
    <row r="185">
      <c r="B185">
        <f>Table1[[#This Row],[Cost Center Name]]&amp;Table1[[#This Row],[Job Name]]&amp;" "&amp;"-"&amp;" "&amp;Table1[[#This Row],[Job Code]]</f>
        <v/>
      </c>
      <c r="C185" t="inlineStr">
        <is>
          <t>US</t>
        </is>
      </c>
      <c r="D185" t="inlineStr">
        <is>
          <t>USD</t>
        </is>
      </c>
      <c r="E185" t="inlineStr">
        <is>
          <t xml:space="preserve">Infrastructure Services </t>
        </is>
      </c>
      <c r="F185" s="81" t="inlineStr">
        <is>
          <t>IS DS Engineering</t>
        </is>
      </c>
      <c r="G185" s="81" t="n">
        <v>100152</v>
      </c>
      <c r="H185" t="inlineStr">
        <is>
          <t>R&amp;S.Engineer</t>
        </is>
      </c>
      <c r="I185" t="inlineStr">
        <is>
          <t>$</t>
        </is>
      </c>
      <c r="J185" s="81" t="n">
        <v>139.2</v>
      </c>
    </row>
    <row r="186">
      <c r="B186">
        <f>Table1[[#This Row],[Cost Center Name]]&amp;Table1[[#This Row],[Job Name]]&amp;" "&amp;"-"&amp;" "&amp;Table1[[#This Row],[Job Code]]</f>
        <v/>
      </c>
      <c r="C186" t="inlineStr">
        <is>
          <t>US</t>
        </is>
      </c>
      <c r="D186" t="inlineStr">
        <is>
          <t>USD</t>
        </is>
      </c>
      <c r="E186" t="inlineStr">
        <is>
          <t xml:space="preserve">Infrastructure Services </t>
        </is>
      </c>
      <c r="F186" s="81" t="inlineStr">
        <is>
          <t>IS DS Engineering</t>
        </is>
      </c>
      <c r="G186" s="81" t="n">
        <v>100153</v>
      </c>
      <c r="H186" t="inlineStr">
        <is>
          <t>R&amp;S.Sr Engineer</t>
        </is>
      </c>
      <c r="I186" t="inlineStr">
        <is>
          <t>$</t>
        </is>
      </c>
      <c r="J186" s="81" t="n">
        <v>192</v>
      </c>
    </row>
    <row r="187">
      <c r="B187">
        <f>Table1[[#This Row],[Cost Center Name]]&amp;Table1[[#This Row],[Job Name]]&amp;" "&amp;"-"&amp;" "&amp;Table1[[#This Row],[Job Code]]</f>
        <v/>
      </c>
      <c r="C187" t="inlineStr">
        <is>
          <t>US</t>
        </is>
      </c>
      <c r="D187" t="inlineStr">
        <is>
          <t>USD</t>
        </is>
      </c>
      <c r="E187" t="inlineStr">
        <is>
          <t xml:space="preserve">Infrastructure Services </t>
        </is>
      </c>
      <c r="F187" s="81" t="inlineStr">
        <is>
          <t>IS DS Engineering</t>
        </is>
      </c>
      <c r="G187" s="81" t="n">
        <v>100154</v>
      </c>
      <c r="H187" t="inlineStr">
        <is>
          <t>SDN.Architect</t>
        </is>
      </c>
      <c r="I187" t="inlineStr">
        <is>
          <t>$</t>
        </is>
      </c>
      <c r="J187" s="81" t="n">
        <v>194.4</v>
      </c>
    </row>
    <row r="188">
      <c r="B188">
        <f>Table1[[#This Row],[Cost Center Name]]&amp;Table1[[#This Row],[Job Name]]&amp;" "&amp;"-"&amp;" "&amp;Table1[[#This Row],[Job Code]]</f>
        <v/>
      </c>
      <c r="C188" t="inlineStr">
        <is>
          <t>US</t>
        </is>
      </c>
      <c r="D188" t="inlineStr">
        <is>
          <t>USD</t>
        </is>
      </c>
      <c r="E188" t="inlineStr">
        <is>
          <t xml:space="preserve">Infrastructure Services </t>
        </is>
      </c>
      <c r="F188" s="81" t="inlineStr">
        <is>
          <t>IS DS Engineering</t>
        </is>
      </c>
      <c r="G188" s="81" t="n">
        <v>100157</v>
      </c>
      <c r="H188" t="inlineStr">
        <is>
          <t>Security.Engineer</t>
        </is>
      </c>
      <c r="I188" t="inlineStr">
        <is>
          <t>$</t>
        </is>
      </c>
      <c r="J188" s="81" t="n">
        <v>132</v>
      </c>
    </row>
    <row r="189">
      <c r="B189">
        <f>Table1[[#This Row],[Cost Center Name]]&amp;Table1[[#This Row],[Job Name]]&amp;" "&amp;"-"&amp;" "&amp;Table1[[#This Row],[Job Code]]</f>
        <v/>
      </c>
      <c r="C189" t="inlineStr">
        <is>
          <t>US</t>
        </is>
      </c>
      <c r="D189" t="inlineStr">
        <is>
          <t>USD</t>
        </is>
      </c>
      <c r="E189" t="inlineStr">
        <is>
          <t xml:space="preserve">Infrastructure Services </t>
        </is>
      </c>
      <c r="F189" s="81" t="inlineStr">
        <is>
          <t>IS DS Engineering</t>
        </is>
      </c>
      <c r="G189" s="81" t="n">
        <v>100160</v>
      </c>
      <c r="H189" t="inlineStr">
        <is>
          <t>Security.Sr Engineer</t>
        </is>
      </c>
      <c r="I189" t="inlineStr">
        <is>
          <t>$</t>
        </is>
      </c>
      <c r="J189" s="81" t="n">
        <v>189.6</v>
      </c>
    </row>
    <row r="190">
      <c r="B190">
        <f>Table1[[#This Row],[Cost Center Name]]&amp;Table1[[#This Row],[Job Name]]&amp;" "&amp;"-"&amp;" "&amp;Table1[[#This Row],[Job Code]]</f>
        <v/>
      </c>
      <c r="C190" t="inlineStr">
        <is>
          <t>US</t>
        </is>
      </c>
      <c r="D190" t="inlineStr">
        <is>
          <t>USD</t>
        </is>
      </c>
      <c r="E190" t="inlineStr">
        <is>
          <t xml:space="preserve">Infrastructure Services </t>
        </is>
      </c>
      <c r="F190" s="81" t="inlineStr">
        <is>
          <t>IS DS Engineering</t>
        </is>
      </c>
      <c r="G190" s="81" t="n">
        <v>100178</v>
      </c>
      <c r="H190" t="inlineStr">
        <is>
          <t>Voice.Sr Engineer</t>
        </is>
      </c>
      <c r="I190" t="inlineStr">
        <is>
          <t>$</t>
        </is>
      </c>
      <c r="J190" s="81" t="n">
        <v>184.8</v>
      </c>
    </row>
    <row r="191">
      <c r="B191">
        <f>Table1[[#This Row],[Cost Center Name]]&amp;Table1[[#This Row],[Job Name]]&amp;" "&amp;"-"&amp;" "&amp;Table1[[#This Row],[Job Code]]</f>
        <v/>
      </c>
      <c r="C191" t="inlineStr">
        <is>
          <t>US</t>
        </is>
      </c>
      <c r="D191" t="inlineStr">
        <is>
          <t>USD</t>
        </is>
      </c>
      <c r="E191" t="inlineStr">
        <is>
          <t xml:space="preserve">Infrastructure Services </t>
        </is>
      </c>
      <c r="F191" s="81" t="inlineStr">
        <is>
          <t>IS DS Engineering</t>
        </is>
      </c>
      <c r="G191" s="81" t="n">
        <v>100179</v>
      </c>
      <c r="H191" t="inlineStr">
        <is>
          <t>Voice.Sr Engineer UCCE</t>
        </is>
      </c>
      <c r="I191" t="inlineStr">
        <is>
          <t>$</t>
        </is>
      </c>
      <c r="J191" s="81" t="n">
        <v>213.6</v>
      </c>
    </row>
    <row r="192">
      <c r="B192">
        <f>Table1[[#This Row],[Cost Center Name]]&amp;Table1[[#This Row],[Job Name]]&amp;" "&amp;"-"&amp;" "&amp;Table1[[#This Row],[Job Code]]</f>
        <v/>
      </c>
      <c r="C192" t="inlineStr">
        <is>
          <t>US</t>
        </is>
      </c>
      <c r="D192" t="inlineStr">
        <is>
          <t>USD</t>
        </is>
      </c>
      <c r="E192" t="inlineStr">
        <is>
          <t xml:space="preserve">Infrastructure Services </t>
        </is>
      </c>
      <c r="F192" s="81" t="inlineStr">
        <is>
          <t>IS DS Engineering</t>
        </is>
      </c>
      <c r="G192" s="81" t="n">
        <v>100182</v>
      </c>
      <c r="H192" t="inlineStr">
        <is>
          <t>Wireless.Sr Engineer</t>
        </is>
      </c>
      <c r="I192" t="inlineStr">
        <is>
          <t>$</t>
        </is>
      </c>
      <c r="J192" s="81" t="n">
        <v>170.4</v>
      </c>
    </row>
    <row r="193">
      <c r="B193">
        <f>Table1[[#This Row],[Cost Center Name]]&amp;Table1[[#This Row],[Job Name]]&amp;" "&amp;"-"&amp;" "&amp;Table1[[#This Row],[Job Code]]</f>
        <v/>
      </c>
      <c r="C193" t="inlineStr">
        <is>
          <t>US</t>
        </is>
      </c>
      <c r="D193" t="inlineStr">
        <is>
          <t>USD</t>
        </is>
      </c>
      <c r="E193" t="inlineStr">
        <is>
          <t xml:space="preserve">Infrastructure Services </t>
        </is>
      </c>
      <c r="F193" s="81" t="inlineStr">
        <is>
          <t>IS DS Engineering</t>
        </is>
      </c>
      <c r="G193" s="81" t="inlineStr">
        <is>
          <t>PS7128</t>
        </is>
      </c>
      <c r="H193" t="inlineStr">
        <is>
          <t>Architect</t>
        </is>
      </c>
      <c r="I193" t="inlineStr">
        <is>
          <t>$</t>
        </is>
      </c>
      <c r="J193" s="81" t="n">
        <v>207.6</v>
      </c>
    </row>
    <row r="194">
      <c r="B194">
        <f>Table1[[#This Row],[Cost Center Name]]&amp;Table1[[#This Row],[Job Name]]&amp;" "&amp;"-"&amp;" "&amp;Table1[[#This Row],[Job Code]]</f>
        <v/>
      </c>
      <c r="C194" t="inlineStr">
        <is>
          <t>US</t>
        </is>
      </c>
      <c r="D194" t="inlineStr">
        <is>
          <t>USD</t>
        </is>
      </c>
      <c r="E194" t="inlineStr">
        <is>
          <t xml:space="preserve">Infrastructure Services </t>
        </is>
      </c>
      <c r="F194" s="81" t="inlineStr">
        <is>
          <t>IS DS Fed HI/APAC Eng</t>
        </is>
      </c>
      <c r="G194" s="81" t="n">
        <v>100071</v>
      </c>
      <c r="H194" t="inlineStr">
        <is>
          <t>Consulting.Systems Engineer</t>
        </is>
      </c>
      <c r="I194" t="inlineStr">
        <is>
          <t>$</t>
        </is>
      </c>
      <c r="J194" s="81" t="n">
        <v>205.32</v>
      </c>
    </row>
    <row r="195">
      <c r="B195">
        <f>Table1[[#This Row],[Cost Center Name]]&amp;Table1[[#This Row],[Job Name]]&amp;" "&amp;"-"&amp;" "&amp;Table1[[#This Row],[Job Code]]</f>
        <v/>
      </c>
      <c r="C195" t="inlineStr">
        <is>
          <t>US</t>
        </is>
      </c>
      <c r="D195" t="inlineStr">
        <is>
          <t>USD</t>
        </is>
      </c>
      <c r="E195" t="inlineStr">
        <is>
          <t xml:space="preserve">Infrastructure Services </t>
        </is>
      </c>
      <c r="F195" s="81" t="inlineStr">
        <is>
          <t>IS DS Fed HI/APAC Eng</t>
        </is>
      </c>
      <c r="G195" s="81" t="n">
        <v>100181</v>
      </c>
      <c r="H195" t="inlineStr">
        <is>
          <t>Wireless.Engineer</t>
        </is>
      </c>
      <c r="I195" t="inlineStr">
        <is>
          <t>$</t>
        </is>
      </c>
      <c r="J195" s="81" t="n">
        <v>158.12</v>
      </c>
    </row>
    <row r="196">
      <c r="B196">
        <f>Table1[[#This Row],[Cost Center Name]]&amp;Table1[[#This Row],[Job Name]]&amp;" "&amp;"-"&amp;" "&amp;Table1[[#This Row],[Job Code]]</f>
        <v/>
      </c>
      <c r="C196" t="inlineStr">
        <is>
          <t>US</t>
        </is>
      </c>
      <c r="D196" t="inlineStr">
        <is>
          <t>USD</t>
        </is>
      </c>
      <c r="E196" t="inlineStr">
        <is>
          <t xml:space="preserve">Infrastructure Services </t>
        </is>
      </c>
      <c r="F196" s="81" t="inlineStr">
        <is>
          <t>IS DS Fed HI/APAC Eng</t>
        </is>
      </c>
      <c r="G196" s="81" t="n">
        <v>100306</v>
      </c>
      <c r="H196" t="inlineStr">
        <is>
          <t>ServiceNow.Developer</t>
        </is>
      </c>
      <c r="I196" t="inlineStr">
        <is>
          <t>$</t>
        </is>
      </c>
      <c r="J196" s="81" t="n">
        <v>110.92</v>
      </c>
    </row>
    <row r="197">
      <c r="B197">
        <f>Table1[[#This Row],[Cost Center Name]]&amp;Table1[[#This Row],[Job Name]]&amp;" "&amp;"-"&amp;" "&amp;Table1[[#This Row],[Job Code]]</f>
        <v/>
      </c>
      <c r="C197" t="inlineStr">
        <is>
          <t>US</t>
        </is>
      </c>
      <c r="D197" t="inlineStr">
        <is>
          <t>USD</t>
        </is>
      </c>
      <c r="E197" t="inlineStr">
        <is>
          <t xml:space="preserve">Infrastructure Services </t>
        </is>
      </c>
      <c r="F197" s="81" t="inlineStr">
        <is>
          <t>IS DS Fed HI/APAC PMO</t>
        </is>
      </c>
      <c r="G197" s="81" t="n">
        <v>100139</v>
      </c>
      <c r="H197" t="inlineStr">
        <is>
          <t>Project Management.PM</t>
        </is>
      </c>
      <c r="I197" t="inlineStr">
        <is>
          <t>$</t>
        </is>
      </c>
      <c r="J197" s="81" t="n">
        <v>131.1</v>
      </c>
    </row>
    <row r="198">
      <c r="B198">
        <f>Table1[[#This Row],[Cost Center Name]]&amp;Table1[[#This Row],[Job Name]]&amp;" "&amp;"-"&amp;" "&amp;Table1[[#This Row],[Job Code]]</f>
        <v/>
      </c>
      <c r="C198" t="inlineStr">
        <is>
          <t>US</t>
        </is>
      </c>
      <c r="D198" t="inlineStr">
        <is>
          <t>USD</t>
        </is>
      </c>
      <c r="E198" t="inlineStr">
        <is>
          <t xml:space="preserve">Infrastructure Services </t>
        </is>
      </c>
      <c r="F198" s="81" t="inlineStr">
        <is>
          <t>IS DS Fed HI/APAC PMO</t>
        </is>
      </c>
      <c r="G198" s="81" t="n">
        <v>100140</v>
      </c>
      <c r="H198" t="inlineStr">
        <is>
          <t>Project Management.Proj Coor</t>
        </is>
      </c>
      <c r="I198" t="inlineStr">
        <is>
          <t>$</t>
        </is>
      </c>
      <c r="J198" s="81" t="n">
        <v>91.2</v>
      </c>
    </row>
    <row r="199">
      <c r="B199">
        <f>Table1[[#This Row],[Cost Center Name]]&amp;Table1[[#This Row],[Job Name]]&amp;" "&amp;"-"&amp;" "&amp;Table1[[#This Row],[Job Code]]</f>
        <v/>
      </c>
      <c r="C199" t="inlineStr">
        <is>
          <t>US</t>
        </is>
      </c>
      <c r="D199" t="inlineStr">
        <is>
          <t>USD</t>
        </is>
      </c>
      <c r="E199" t="inlineStr">
        <is>
          <t xml:space="preserve">Infrastructure Services </t>
        </is>
      </c>
      <c r="F199" s="81" t="inlineStr">
        <is>
          <t>IS DS Federal Dedicated</t>
        </is>
      </c>
      <c r="G199" s="81" t="n">
        <v>100152</v>
      </c>
      <c r="H199" t="inlineStr">
        <is>
          <t>R&amp;S.Engineer</t>
        </is>
      </c>
      <c r="I199" t="inlineStr">
        <is>
          <t>$</t>
        </is>
      </c>
      <c r="J199" s="81" t="n">
        <v>107.3</v>
      </c>
    </row>
    <row r="200">
      <c r="B200">
        <f>Table1[[#This Row],[Cost Center Name]]&amp;Table1[[#This Row],[Job Name]]&amp;" "&amp;"-"&amp;" "&amp;Table1[[#This Row],[Job Code]]</f>
        <v/>
      </c>
      <c r="C200" t="inlineStr">
        <is>
          <t>US</t>
        </is>
      </c>
      <c r="D200" t="inlineStr">
        <is>
          <t>USD</t>
        </is>
      </c>
      <c r="E200" t="inlineStr">
        <is>
          <t xml:space="preserve">Infrastructure Services </t>
        </is>
      </c>
      <c r="F200" s="81" t="inlineStr">
        <is>
          <t>IS DS Federal Dedicated</t>
        </is>
      </c>
      <c r="G200" s="81" t="n">
        <v>100153</v>
      </c>
      <c r="H200" t="inlineStr">
        <is>
          <t>R&amp;S.Sr Engineer</t>
        </is>
      </c>
      <c r="I200" t="inlineStr">
        <is>
          <t>$</t>
        </is>
      </c>
      <c r="J200" s="81" t="n">
        <v>148</v>
      </c>
    </row>
    <row r="201">
      <c r="B201">
        <f>Table1[[#This Row],[Cost Center Name]]&amp;Table1[[#This Row],[Job Name]]&amp;" "&amp;"-"&amp;" "&amp;Table1[[#This Row],[Job Code]]</f>
        <v/>
      </c>
      <c r="C201" t="inlineStr">
        <is>
          <t>US</t>
        </is>
      </c>
      <c r="D201" t="inlineStr">
        <is>
          <t>USD</t>
        </is>
      </c>
      <c r="E201" t="inlineStr">
        <is>
          <t xml:space="preserve">Infrastructure Services </t>
        </is>
      </c>
      <c r="F201" s="81" t="inlineStr">
        <is>
          <t>IS DS Federal Dedicated</t>
        </is>
      </c>
      <c r="G201" s="81" t="n">
        <v>100157</v>
      </c>
      <c r="H201" t="inlineStr">
        <is>
          <t>Security.Engineer</t>
        </is>
      </c>
      <c r="I201" t="inlineStr">
        <is>
          <t>$</t>
        </is>
      </c>
      <c r="J201" s="81" t="n">
        <v>101.75</v>
      </c>
    </row>
    <row r="202">
      <c r="B202">
        <f>Table1[[#This Row],[Cost Center Name]]&amp;Table1[[#This Row],[Job Name]]&amp;" "&amp;"-"&amp;" "&amp;Table1[[#This Row],[Job Code]]</f>
        <v/>
      </c>
      <c r="C202" t="inlineStr">
        <is>
          <t>US</t>
        </is>
      </c>
      <c r="D202" t="inlineStr">
        <is>
          <t>USD</t>
        </is>
      </c>
      <c r="E202" t="inlineStr">
        <is>
          <t xml:space="preserve">Infrastructure Services </t>
        </is>
      </c>
      <c r="F202" s="81" t="inlineStr">
        <is>
          <t>IS DS Federal Dedicated</t>
        </is>
      </c>
      <c r="G202" s="81" t="n">
        <v>100168</v>
      </c>
      <c r="H202" t="inlineStr">
        <is>
          <t>Support.Engineer</t>
        </is>
      </c>
      <c r="I202" t="inlineStr">
        <is>
          <t>$</t>
        </is>
      </c>
      <c r="J202" s="81" t="n">
        <v>77.7</v>
      </c>
    </row>
    <row r="203">
      <c r="B203">
        <f>Table1[[#This Row],[Cost Center Name]]&amp;Table1[[#This Row],[Job Name]]&amp;" "&amp;"-"&amp;" "&amp;Table1[[#This Row],[Job Code]]</f>
        <v/>
      </c>
      <c r="C203" t="inlineStr">
        <is>
          <t>US</t>
        </is>
      </c>
      <c r="D203" t="inlineStr">
        <is>
          <t>USD</t>
        </is>
      </c>
      <c r="E203" t="inlineStr">
        <is>
          <t xml:space="preserve">Infrastructure Services </t>
        </is>
      </c>
      <c r="F203" s="81" t="inlineStr">
        <is>
          <t>IS DS Federal Dedicated</t>
        </is>
      </c>
      <c r="G203" s="81" t="n">
        <v>100180</v>
      </c>
      <c r="H203" t="inlineStr">
        <is>
          <t>Voice.Technician</t>
        </is>
      </c>
      <c r="I203" t="inlineStr">
        <is>
          <t>$</t>
        </is>
      </c>
      <c r="J203" s="81" t="n">
        <v>90.65000000000001</v>
      </c>
    </row>
    <row r="204">
      <c r="B204">
        <f>Table1[[#This Row],[Cost Center Name]]&amp;Table1[[#This Row],[Job Name]]&amp;" "&amp;"-"&amp;" "&amp;Table1[[#This Row],[Job Code]]</f>
        <v/>
      </c>
      <c r="C204" t="inlineStr">
        <is>
          <t>US</t>
        </is>
      </c>
      <c r="D204" t="inlineStr">
        <is>
          <t>USD</t>
        </is>
      </c>
      <c r="E204" t="inlineStr">
        <is>
          <t xml:space="preserve">Infrastructure Services </t>
        </is>
      </c>
      <c r="F204" s="81" t="inlineStr">
        <is>
          <t>IS DS Federal Dedicated</t>
        </is>
      </c>
      <c r="G204" s="81" t="n">
        <v>100306</v>
      </c>
      <c r="H204" t="inlineStr">
        <is>
          <t>ServiceNow.Developer</t>
        </is>
      </c>
      <c r="I204" t="inlineStr">
        <is>
          <t>$</t>
        </is>
      </c>
      <c r="J204" s="81" t="n">
        <v>86.95</v>
      </c>
    </row>
    <row r="205">
      <c r="B205">
        <f>Table1[[#This Row],[Cost Center Name]]&amp;Table1[[#This Row],[Job Name]]&amp;" "&amp;"-"&amp;" "&amp;Table1[[#This Row],[Job Code]]</f>
        <v/>
      </c>
      <c r="C205" t="inlineStr">
        <is>
          <t>US</t>
        </is>
      </c>
      <c r="D205" t="inlineStr">
        <is>
          <t>USD</t>
        </is>
      </c>
      <c r="E205" t="inlineStr">
        <is>
          <t xml:space="preserve">Infrastructure Services </t>
        </is>
      </c>
      <c r="F205" s="81" t="inlineStr">
        <is>
          <t>IS DS Kaiser Engr Dedicated</t>
        </is>
      </c>
      <c r="G205" s="81" t="n">
        <v>100152</v>
      </c>
      <c r="H205" t="inlineStr">
        <is>
          <t>R&amp;S.Engineer</t>
        </is>
      </c>
      <c r="I205" t="inlineStr">
        <is>
          <t>$</t>
        </is>
      </c>
      <c r="J205" s="81" t="n">
        <v>103.24</v>
      </c>
    </row>
    <row r="206">
      <c r="B206">
        <f>Table1[[#This Row],[Cost Center Name]]&amp;Table1[[#This Row],[Job Name]]&amp;" "&amp;"-"&amp;" "&amp;Table1[[#This Row],[Job Code]]</f>
        <v/>
      </c>
      <c r="C206" t="inlineStr">
        <is>
          <t>US</t>
        </is>
      </c>
      <c r="D206" t="inlineStr">
        <is>
          <t>USD</t>
        </is>
      </c>
      <c r="E206" t="inlineStr">
        <is>
          <t xml:space="preserve">Infrastructure Services </t>
        </is>
      </c>
      <c r="F206" s="81" t="inlineStr">
        <is>
          <t>IS DS Kaiser Engr Dedicated</t>
        </is>
      </c>
      <c r="G206" s="81" t="n">
        <v>100153</v>
      </c>
      <c r="H206" t="inlineStr">
        <is>
          <t>R&amp;S.Sr Engineer</t>
        </is>
      </c>
      <c r="I206" t="inlineStr">
        <is>
          <t>$</t>
        </is>
      </c>
      <c r="J206" s="81" t="n">
        <v>142.4</v>
      </c>
    </row>
    <row r="207">
      <c r="B207">
        <f>Table1[[#This Row],[Cost Center Name]]&amp;Table1[[#This Row],[Job Name]]&amp;" "&amp;"-"&amp;" "&amp;Table1[[#This Row],[Job Code]]</f>
        <v/>
      </c>
      <c r="C207" t="inlineStr">
        <is>
          <t>US</t>
        </is>
      </c>
      <c r="D207" t="inlineStr">
        <is>
          <t>USD</t>
        </is>
      </c>
      <c r="E207" t="inlineStr">
        <is>
          <t xml:space="preserve">Infrastructure Services </t>
        </is>
      </c>
      <c r="F207" s="81" t="inlineStr">
        <is>
          <t>IS DS Kaiser Engr Dedicated</t>
        </is>
      </c>
      <c r="G207" s="81" t="n">
        <v>100178</v>
      </c>
      <c r="H207" t="inlineStr">
        <is>
          <t>Voice.Sr Engineer</t>
        </is>
      </c>
      <c r="I207" t="inlineStr">
        <is>
          <t>$</t>
        </is>
      </c>
      <c r="J207" s="81" t="n">
        <v>137.06</v>
      </c>
    </row>
    <row r="208">
      <c r="B208">
        <f>Table1[[#This Row],[Cost Center Name]]&amp;Table1[[#This Row],[Job Name]]&amp;" "&amp;"-"&amp;" "&amp;Table1[[#This Row],[Job Code]]</f>
        <v/>
      </c>
      <c r="C208" t="inlineStr">
        <is>
          <t>US</t>
        </is>
      </c>
      <c r="D208" t="inlineStr">
        <is>
          <t>USD</t>
        </is>
      </c>
      <c r="E208" t="inlineStr">
        <is>
          <t xml:space="preserve">Infrastructure Services </t>
        </is>
      </c>
      <c r="F208" s="81" t="inlineStr">
        <is>
          <t>IS DS Kaiser PMO Dedicated</t>
        </is>
      </c>
      <c r="G208" s="81" t="n">
        <v>100138</v>
      </c>
      <c r="H208" t="inlineStr">
        <is>
          <t>Project Management.PgM</t>
        </is>
      </c>
      <c r="I208" t="inlineStr">
        <is>
          <t>$</t>
        </is>
      </c>
      <c r="J208" s="81" t="n">
        <v>133.5</v>
      </c>
    </row>
    <row r="209">
      <c r="B209">
        <f>Table1[[#This Row],[Cost Center Name]]&amp;Table1[[#This Row],[Job Name]]&amp;" "&amp;"-"&amp;" "&amp;Table1[[#This Row],[Job Code]]</f>
        <v/>
      </c>
      <c r="C209" t="inlineStr">
        <is>
          <t>US</t>
        </is>
      </c>
      <c r="D209" t="inlineStr">
        <is>
          <t>USD</t>
        </is>
      </c>
      <c r="E209" t="inlineStr">
        <is>
          <t xml:space="preserve">Infrastructure Services </t>
        </is>
      </c>
      <c r="F209" s="81" t="inlineStr">
        <is>
          <t>IS DS Kaiser PMO Dedicated</t>
        </is>
      </c>
      <c r="G209" s="81" t="n">
        <v>100139</v>
      </c>
      <c r="H209" t="inlineStr">
        <is>
          <t>Project Management.PM</t>
        </is>
      </c>
      <c r="I209" t="inlineStr">
        <is>
          <t>$</t>
        </is>
      </c>
      <c r="J209" s="81" t="n">
        <v>81.88</v>
      </c>
    </row>
    <row r="210">
      <c r="B210">
        <f>Table1[[#This Row],[Cost Center Name]]&amp;Table1[[#This Row],[Job Name]]&amp;" "&amp;"-"&amp;" "&amp;Table1[[#This Row],[Job Code]]</f>
        <v/>
      </c>
      <c r="C210" t="inlineStr">
        <is>
          <t>US</t>
        </is>
      </c>
      <c r="D210" t="inlineStr">
        <is>
          <t>USD</t>
        </is>
      </c>
      <c r="E210" t="inlineStr">
        <is>
          <t xml:space="preserve">Infrastructure Services </t>
        </is>
      </c>
      <c r="F210" s="81" t="inlineStr">
        <is>
          <t>IS DS Kaiser PMO Dedicated</t>
        </is>
      </c>
      <c r="G210" s="81" t="n">
        <v>100140</v>
      </c>
      <c r="H210" t="inlineStr">
        <is>
          <t>Project Management.Proj Coor</t>
        </is>
      </c>
      <c r="I210" t="inlineStr">
        <is>
          <t>$</t>
        </is>
      </c>
      <c r="J210" s="81" t="n">
        <v>56.96</v>
      </c>
    </row>
    <row r="211">
      <c r="B211">
        <f>Table1[[#This Row],[Cost Center Name]]&amp;Table1[[#This Row],[Job Name]]&amp;" "&amp;"-"&amp;" "&amp;Table1[[#This Row],[Job Code]]</f>
        <v/>
      </c>
      <c r="C211" t="inlineStr">
        <is>
          <t>US</t>
        </is>
      </c>
      <c r="D211" t="inlineStr">
        <is>
          <t>USD</t>
        </is>
      </c>
      <c r="E211" t="inlineStr">
        <is>
          <t xml:space="preserve">Infrastructure Services </t>
        </is>
      </c>
      <c r="F211" s="81" t="inlineStr">
        <is>
          <t>IS DS Kaiser PMO Dedicated</t>
        </is>
      </c>
      <c r="G211" s="81" t="n">
        <v>100142</v>
      </c>
      <c r="H211" t="inlineStr">
        <is>
          <t>Project Management.Sr PM</t>
        </is>
      </c>
      <c r="I211" t="inlineStr">
        <is>
          <t>$</t>
        </is>
      </c>
      <c r="J211" s="81" t="n">
        <v>115.7</v>
      </c>
    </row>
    <row r="212">
      <c r="B212">
        <f>Table1[[#This Row],[Cost Center Name]]&amp;Table1[[#This Row],[Job Name]]&amp;" "&amp;"-"&amp;" "&amp;Table1[[#This Row],[Job Code]]</f>
        <v/>
      </c>
      <c r="C212" t="inlineStr">
        <is>
          <t>US</t>
        </is>
      </c>
      <c r="D212" t="inlineStr">
        <is>
          <t>USD</t>
        </is>
      </c>
      <c r="E212" t="inlineStr">
        <is>
          <t xml:space="preserve">Infrastructure Services </t>
        </is>
      </c>
      <c r="F212" s="81" t="inlineStr">
        <is>
          <t>IS DS Kaiser Prgm Eng</t>
        </is>
      </c>
      <c r="G212" s="81" t="n">
        <v>100152</v>
      </c>
      <c r="H212" t="inlineStr">
        <is>
          <t>R&amp;S.Engineer</t>
        </is>
      </c>
      <c r="I212" t="inlineStr">
        <is>
          <t>$</t>
        </is>
      </c>
      <c r="J212" s="81" t="n">
        <v>133.98</v>
      </c>
    </row>
    <row r="213">
      <c r="B213">
        <f>Table1[[#This Row],[Cost Center Name]]&amp;Table1[[#This Row],[Job Name]]&amp;" "&amp;"-"&amp;" "&amp;Table1[[#This Row],[Job Code]]</f>
        <v/>
      </c>
      <c r="C213" t="inlineStr">
        <is>
          <t>US</t>
        </is>
      </c>
      <c r="D213" t="inlineStr">
        <is>
          <t>USD</t>
        </is>
      </c>
      <c r="E213" t="inlineStr">
        <is>
          <t xml:space="preserve">Infrastructure Services </t>
        </is>
      </c>
      <c r="F213" s="81" t="inlineStr">
        <is>
          <t>IS DS Kaiser Prgm Eng</t>
        </is>
      </c>
      <c r="G213" s="81" t="n">
        <v>100178</v>
      </c>
      <c r="H213" t="inlineStr">
        <is>
          <t>Voice.Sr Engineer</t>
        </is>
      </c>
      <c r="I213" t="inlineStr">
        <is>
          <t>$</t>
        </is>
      </c>
      <c r="J213" s="81" t="n">
        <v>177.87</v>
      </c>
    </row>
    <row r="214">
      <c r="B214">
        <f>Table1[[#This Row],[Cost Center Name]]&amp;Table1[[#This Row],[Job Name]]&amp;" "&amp;"-"&amp;" "&amp;Table1[[#This Row],[Job Code]]</f>
        <v/>
      </c>
      <c r="C214" t="inlineStr">
        <is>
          <t>US</t>
        </is>
      </c>
      <c r="D214" t="inlineStr">
        <is>
          <t>USD</t>
        </is>
      </c>
      <c r="E214" t="inlineStr">
        <is>
          <t xml:space="preserve">Infrastructure Services </t>
        </is>
      </c>
      <c r="F214" s="81" t="inlineStr">
        <is>
          <t>IS DS Kaiser Prgm PMO</t>
        </is>
      </c>
      <c r="G214" s="81" t="n">
        <v>100139</v>
      </c>
      <c r="H214" t="inlineStr">
        <is>
          <t>Project Management.PM</t>
        </is>
      </c>
      <c r="I214" t="inlineStr">
        <is>
          <t>$</t>
        </is>
      </c>
      <c r="J214" s="81" t="n">
        <v>105.8</v>
      </c>
    </row>
    <row r="215">
      <c r="B215">
        <f>Table1[[#This Row],[Cost Center Name]]&amp;Table1[[#This Row],[Job Name]]&amp;" "&amp;"-"&amp;" "&amp;Table1[[#This Row],[Job Code]]</f>
        <v/>
      </c>
      <c r="C215" t="inlineStr">
        <is>
          <t>US</t>
        </is>
      </c>
      <c r="D215" t="inlineStr">
        <is>
          <t>USD</t>
        </is>
      </c>
      <c r="E215" t="inlineStr">
        <is>
          <t xml:space="preserve">Infrastructure Services </t>
        </is>
      </c>
      <c r="F215" s="81" t="inlineStr">
        <is>
          <t>IS DS Learning Solutions</t>
        </is>
      </c>
      <c r="G215" s="81" t="n">
        <v>100133</v>
      </c>
      <c r="H215" t="inlineStr">
        <is>
          <t>Learning.Specialist</t>
        </is>
      </c>
      <c r="I215" t="inlineStr">
        <is>
          <t>$</t>
        </is>
      </c>
      <c r="J215" s="81" t="n">
        <v>88.2</v>
      </c>
    </row>
    <row r="216">
      <c r="B216">
        <f>Table1[[#This Row],[Cost Center Name]]&amp;Table1[[#This Row],[Job Name]]&amp;" "&amp;"-"&amp;" "&amp;Table1[[#This Row],[Job Code]]</f>
        <v/>
      </c>
      <c r="C216" t="inlineStr">
        <is>
          <t>US</t>
        </is>
      </c>
      <c r="D216" t="inlineStr">
        <is>
          <t>USD</t>
        </is>
      </c>
      <c r="E216" t="inlineStr">
        <is>
          <t xml:space="preserve">Infrastructure Services </t>
        </is>
      </c>
      <c r="F216" s="81" t="inlineStr">
        <is>
          <t>IS DS Learning Solutions</t>
        </is>
      </c>
      <c r="G216" s="81" t="n">
        <v>100134</v>
      </c>
      <c r="H216" t="inlineStr">
        <is>
          <t>Learning.Sr Specialist</t>
        </is>
      </c>
      <c r="I216" t="inlineStr">
        <is>
          <t>$</t>
        </is>
      </c>
      <c r="J216" s="81" t="n">
        <v>166.6</v>
      </c>
    </row>
    <row r="217">
      <c r="B217">
        <f>Table1[[#This Row],[Cost Center Name]]&amp;Table1[[#This Row],[Job Name]]&amp;" "&amp;"-"&amp;" "&amp;Table1[[#This Row],[Job Code]]</f>
        <v/>
      </c>
      <c r="C217" t="inlineStr">
        <is>
          <t>US</t>
        </is>
      </c>
      <c r="D217" t="inlineStr">
        <is>
          <t>USD</t>
        </is>
      </c>
      <c r="E217" t="inlineStr">
        <is>
          <t xml:space="preserve">Infrastructure Services </t>
        </is>
      </c>
      <c r="F217" s="81" t="inlineStr">
        <is>
          <t>IS DS PMO</t>
        </is>
      </c>
      <c r="G217" s="81" t="n">
        <v>100138</v>
      </c>
      <c r="H217" t="inlineStr">
        <is>
          <t>Project Management.PgM</t>
        </is>
      </c>
      <c r="I217" t="inlineStr">
        <is>
          <t>$</t>
        </is>
      </c>
      <c r="J217" s="81" t="n">
        <v>186</v>
      </c>
    </row>
    <row r="218">
      <c r="B218">
        <f>Table1[[#This Row],[Cost Center Name]]&amp;Table1[[#This Row],[Job Name]]&amp;" "&amp;"-"&amp;" "&amp;Table1[[#This Row],[Job Code]]</f>
        <v/>
      </c>
      <c r="C218" t="inlineStr">
        <is>
          <t>US</t>
        </is>
      </c>
      <c r="D218" t="inlineStr">
        <is>
          <t>USD</t>
        </is>
      </c>
      <c r="E218" t="inlineStr">
        <is>
          <t xml:space="preserve">Infrastructure Services </t>
        </is>
      </c>
      <c r="F218" s="81" t="inlineStr">
        <is>
          <t>IS DS PMO</t>
        </is>
      </c>
      <c r="G218" s="81" t="n">
        <v>100139</v>
      </c>
      <c r="H218" t="inlineStr">
        <is>
          <t>Project Management.PM</t>
        </is>
      </c>
      <c r="I218" t="inlineStr">
        <is>
          <t>$</t>
        </is>
      </c>
      <c r="J218" s="81" t="n">
        <v>114.08</v>
      </c>
    </row>
    <row r="219">
      <c r="B219">
        <f>Table1[[#This Row],[Cost Center Name]]&amp;Table1[[#This Row],[Job Name]]&amp;" "&amp;"-"&amp;" "&amp;Table1[[#This Row],[Job Code]]</f>
        <v/>
      </c>
      <c r="C219" t="inlineStr">
        <is>
          <t>US</t>
        </is>
      </c>
      <c r="D219" t="inlineStr">
        <is>
          <t>USD</t>
        </is>
      </c>
      <c r="E219" t="inlineStr">
        <is>
          <t xml:space="preserve">Infrastructure Services </t>
        </is>
      </c>
      <c r="F219" s="81" t="inlineStr">
        <is>
          <t>IS DS PMO</t>
        </is>
      </c>
      <c r="G219" s="81" t="n">
        <v>100140</v>
      </c>
      <c r="H219" t="inlineStr">
        <is>
          <t>Project Management.Proj Coor</t>
        </is>
      </c>
      <c r="I219" t="inlineStr">
        <is>
          <t>$</t>
        </is>
      </c>
      <c r="J219" s="81" t="n">
        <v>79.36</v>
      </c>
    </row>
    <row r="220">
      <c r="B220">
        <f>Table1[[#This Row],[Cost Center Name]]&amp;Table1[[#This Row],[Job Name]]&amp;" "&amp;"-"&amp;" "&amp;Table1[[#This Row],[Job Code]]</f>
        <v/>
      </c>
      <c r="C220" t="inlineStr">
        <is>
          <t>US</t>
        </is>
      </c>
      <c r="D220" t="inlineStr">
        <is>
          <t>USD</t>
        </is>
      </c>
      <c r="E220" t="inlineStr">
        <is>
          <t xml:space="preserve">Infrastructure Services </t>
        </is>
      </c>
      <c r="F220" s="81" t="inlineStr">
        <is>
          <t>IS DS PMO</t>
        </is>
      </c>
      <c r="G220" s="81" t="n">
        <v>100142</v>
      </c>
      <c r="H220" t="inlineStr">
        <is>
          <t>Project Management.Sr PM</t>
        </is>
      </c>
      <c r="I220" t="inlineStr">
        <is>
          <t>$</t>
        </is>
      </c>
      <c r="J220" s="81" t="n">
        <v>161.2</v>
      </c>
    </row>
    <row r="221">
      <c r="B221">
        <f>Table1[[#This Row],[Cost Center Name]]&amp;Table1[[#This Row],[Job Name]]&amp;" "&amp;"-"&amp;" "&amp;Table1[[#This Row],[Job Code]]</f>
        <v/>
      </c>
      <c r="C221" t="inlineStr">
        <is>
          <t>US</t>
        </is>
      </c>
      <c r="D221" t="inlineStr">
        <is>
          <t>USD</t>
        </is>
      </c>
      <c r="E221" t="inlineStr">
        <is>
          <t xml:space="preserve">Infrastructure Services </t>
        </is>
      </c>
      <c r="F221" s="81" t="inlineStr">
        <is>
          <t>IS DS Principal Architects</t>
        </is>
      </c>
      <c r="G221" s="81" t="n">
        <v>100305</v>
      </c>
      <c r="H221" t="inlineStr">
        <is>
          <t>Principal.Architect</t>
        </is>
      </c>
      <c r="I221" t="inlineStr">
        <is>
          <t>$</t>
        </is>
      </c>
      <c r="J221" s="81" t="n">
        <v>221.76</v>
      </c>
    </row>
    <row r="222">
      <c r="B222">
        <f>Table1[[#This Row],[Cost Center Name]]&amp;Table1[[#This Row],[Job Name]]&amp;" "&amp;"-"&amp;" "&amp;Table1[[#This Row],[Job Code]]</f>
        <v/>
      </c>
      <c r="C222" t="inlineStr">
        <is>
          <t>US</t>
        </is>
      </c>
      <c r="D222" t="inlineStr">
        <is>
          <t>USD</t>
        </is>
      </c>
      <c r="E222" t="inlineStr">
        <is>
          <t xml:space="preserve">Infrastructure Services </t>
        </is>
      </c>
      <c r="F222" s="81" t="inlineStr">
        <is>
          <t>IS DS Proc &amp; Gam Program</t>
        </is>
      </c>
      <c r="G222" s="81" t="n">
        <v>100182</v>
      </c>
      <c r="H222" t="inlineStr">
        <is>
          <t>Wireless.Sr Engineer</t>
        </is>
      </c>
      <c r="I222" t="inlineStr">
        <is>
          <t>$</t>
        </is>
      </c>
      <c r="J222" s="81" t="n">
        <v>131.35</v>
      </c>
    </row>
    <row r="223">
      <c r="B223">
        <f>Table1[[#This Row],[Cost Center Name]]&amp;Table1[[#This Row],[Job Name]]&amp;" "&amp;"-"&amp;" "&amp;Table1[[#This Row],[Job Code]]</f>
        <v/>
      </c>
      <c r="C223" t="inlineStr">
        <is>
          <t>US</t>
        </is>
      </c>
      <c r="D223" t="inlineStr">
        <is>
          <t>USD</t>
        </is>
      </c>
      <c r="E223" t="inlineStr">
        <is>
          <t xml:space="preserve">Infrastructure Services </t>
        </is>
      </c>
      <c r="F223" s="81" t="inlineStr">
        <is>
          <t>IS DS SCE Prgm</t>
        </is>
      </c>
      <c r="G223" s="81" t="n">
        <v>100152</v>
      </c>
      <c r="H223" t="inlineStr">
        <is>
          <t>R&amp;S.Engineer</t>
        </is>
      </c>
      <c r="I223" t="inlineStr">
        <is>
          <t>$</t>
        </is>
      </c>
      <c r="J223" s="81" t="n">
        <v>107.3</v>
      </c>
    </row>
    <row r="224">
      <c r="B224">
        <f>Table1[[#This Row],[Cost Center Name]]&amp;Table1[[#This Row],[Job Name]]&amp;" "&amp;"-"&amp;" "&amp;Table1[[#This Row],[Job Code]]</f>
        <v/>
      </c>
      <c r="C224" t="inlineStr">
        <is>
          <t>US</t>
        </is>
      </c>
      <c r="D224" t="inlineStr">
        <is>
          <t>USD</t>
        </is>
      </c>
      <c r="E224" t="inlineStr">
        <is>
          <t xml:space="preserve">Infrastructure Services </t>
        </is>
      </c>
      <c r="F224" s="81" t="inlineStr">
        <is>
          <t>IS DS Strategic Pgm Mgmt</t>
        </is>
      </c>
      <c r="G224" s="81" t="n">
        <v>100138</v>
      </c>
      <c r="H224" t="inlineStr">
        <is>
          <t>Project Management.PgM</t>
        </is>
      </c>
      <c r="I224" t="inlineStr">
        <is>
          <t>$</t>
        </is>
      </c>
      <c r="J224" s="81" t="n">
        <v>143.25</v>
      </c>
    </row>
    <row r="225">
      <c r="B225">
        <f>Table1[[#This Row],[Cost Center Name]]&amp;Table1[[#This Row],[Job Name]]&amp;" "&amp;"-"&amp;" "&amp;Table1[[#This Row],[Job Code]]</f>
        <v/>
      </c>
      <c r="C225" t="inlineStr">
        <is>
          <t>US</t>
        </is>
      </c>
      <c r="D225" t="inlineStr">
        <is>
          <t>USD</t>
        </is>
      </c>
      <c r="E225" t="inlineStr">
        <is>
          <t xml:space="preserve">Infrastructure Services </t>
        </is>
      </c>
      <c r="F225" s="81" t="inlineStr">
        <is>
          <t>IS DS Strategic Pgm Mgmt</t>
        </is>
      </c>
      <c r="G225" s="81" t="n">
        <v>100142</v>
      </c>
      <c r="H225" t="inlineStr">
        <is>
          <t>Project Management.Sr PM</t>
        </is>
      </c>
      <c r="I225" t="inlineStr">
        <is>
          <t>$</t>
        </is>
      </c>
      <c r="J225" s="81" t="n">
        <v>124.15</v>
      </c>
    </row>
    <row r="226">
      <c r="B226">
        <f>Table1[[#This Row],[Cost Center Name]]&amp;Table1[[#This Row],[Job Name]]&amp;" "&amp;"-"&amp;" "&amp;Table1[[#This Row],[Job Code]]</f>
        <v/>
      </c>
      <c r="C226" t="inlineStr">
        <is>
          <t>US</t>
        </is>
      </c>
      <c r="D226" t="inlineStr">
        <is>
          <t>USD</t>
        </is>
      </c>
      <c r="E226" t="inlineStr">
        <is>
          <t xml:space="preserve">Infrastructure Services </t>
        </is>
      </c>
      <c r="F226" s="81" t="inlineStr">
        <is>
          <t>IS DS Strategic Pgm Mgmt</t>
        </is>
      </c>
      <c r="G226" s="81" t="n">
        <v>100238</v>
      </c>
      <c r="H226" t="inlineStr">
        <is>
          <t>Project Management.Program Director</t>
        </is>
      </c>
      <c r="I226" t="inlineStr">
        <is>
          <t>$</t>
        </is>
      </c>
      <c r="J226" s="81" t="n">
        <v>200.55</v>
      </c>
    </row>
    <row r="227">
      <c r="B227">
        <f>Table1[[#This Row],[Cost Center Name]]&amp;Table1[[#This Row],[Job Name]]&amp;" "&amp;"-"&amp;" "&amp;Table1[[#This Row],[Job Code]]</f>
        <v/>
      </c>
      <c r="C227" t="inlineStr">
        <is>
          <t>US</t>
        </is>
      </c>
      <c r="D227" t="inlineStr">
        <is>
          <t>USD</t>
        </is>
      </c>
      <c r="E227" t="inlineStr">
        <is>
          <t xml:space="preserve">Infrastructure Services </t>
        </is>
      </c>
      <c r="F227" s="81" t="inlineStr">
        <is>
          <t>IS DS Strategic Pgm Mgmt</t>
        </is>
      </c>
      <c r="G227" s="81" t="n">
        <v>100307</v>
      </c>
      <c r="H227" t="inlineStr">
        <is>
          <t>Project Management.SPgM</t>
        </is>
      </c>
      <c r="I227" t="inlineStr">
        <is>
          <t>$</t>
        </is>
      </c>
      <c r="J227" s="81" t="n">
        <v>154.71</v>
      </c>
    </row>
    <row r="228">
      <c r="B228">
        <f>Table1[[#This Row],[Cost Center Name]]&amp;Table1[[#This Row],[Job Name]]&amp;" "&amp;"-"&amp;" "&amp;Table1[[#This Row],[Job Code]]</f>
        <v/>
      </c>
      <c r="C228" t="inlineStr">
        <is>
          <t>US</t>
        </is>
      </c>
      <c r="D228" t="inlineStr">
        <is>
          <t>USD</t>
        </is>
      </c>
      <c r="E228" t="inlineStr">
        <is>
          <t xml:space="preserve">Infrastructure Services </t>
        </is>
      </c>
      <c r="F228" s="81" t="inlineStr">
        <is>
          <t>IS DS Strategic Pgm Mgmt</t>
        </is>
      </c>
      <c r="G228" s="81" t="n">
        <v>100308</v>
      </c>
      <c r="H228" t="inlineStr">
        <is>
          <t>Project Management.SPfD</t>
        </is>
      </c>
      <c r="I228" t="inlineStr">
        <is>
          <t>$</t>
        </is>
      </c>
      <c r="J228" s="81" t="n">
        <v>168.08</v>
      </c>
    </row>
    <row r="229">
      <c r="B229">
        <f>Table1[[#This Row],[Cost Center Name]]&amp;Table1[[#This Row],[Job Name]]&amp;" "&amp;"-"&amp;" "&amp;Table1[[#This Row],[Job Code]]</f>
        <v/>
      </c>
      <c r="C229" t="inlineStr">
        <is>
          <t>US</t>
        </is>
      </c>
      <c r="D229" t="inlineStr">
        <is>
          <t>USD</t>
        </is>
      </c>
      <c r="E229" t="inlineStr">
        <is>
          <t xml:space="preserve">Infrastructure Services </t>
        </is>
      </c>
      <c r="F229" s="81" t="inlineStr">
        <is>
          <t>IS DS Strategic Pgm Mgmt Ops</t>
        </is>
      </c>
      <c r="G229" s="81" t="n">
        <v>100039</v>
      </c>
      <c r="H229" t="inlineStr">
        <is>
          <t>Program.Analyst</t>
        </is>
      </c>
      <c r="I229" t="inlineStr">
        <is>
          <t>$</t>
        </is>
      </c>
      <c r="J229" s="81" t="n">
        <v>88.06</v>
      </c>
    </row>
    <row r="230">
      <c r="B230">
        <f>Table1[[#This Row],[Cost Center Name]]&amp;Table1[[#This Row],[Job Name]]&amp;" "&amp;"-"&amp;" "&amp;Table1[[#This Row],[Job Code]]</f>
        <v/>
      </c>
      <c r="C230" t="inlineStr">
        <is>
          <t>US</t>
        </is>
      </c>
      <c r="D230" t="inlineStr">
        <is>
          <t>USD</t>
        </is>
      </c>
      <c r="E230" t="inlineStr">
        <is>
          <t xml:space="preserve">Infrastructure Services </t>
        </is>
      </c>
      <c r="F230" s="81" t="inlineStr">
        <is>
          <t>IS ES Consultants</t>
        </is>
      </c>
      <c r="G230" s="81" t="n">
        <v>100001</v>
      </c>
      <c r="H230" t="inlineStr">
        <is>
          <t>AdvisoryServices.AssociateConsultant</t>
        </is>
      </c>
      <c r="I230" t="inlineStr">
        <is>
          <t>$</t>
        </is>
      </c>
      <c r="J230" s="81" t="n">
        <v>114</v>
      </c>
    </row>
    <row r="231">
      <c r="B231">
        <f>Table1[[#This Row],[Cost Center Name]]&amp;Table1[[#This Row],[Job Name]]&amp;" "&amp;"-"&amp;" "&amp;Table1[[#This Row],[Job Code]]</f>
        <v/>
      </c>
      <c r="C231" t="inlineStr">
        <is>
          <t>US</t>
        </is>
      </c>
      <c r="D231" t="inlineStr">
        <is>
          <t>USD</t>
        </is>
      </c>
      <c r="E231" t="inlineStr">
        <is>
          <t xml:space="preserve">Infrastructure Services </t>
        </is>
      </c>
      <c r="F231" s="81" t="inlineStr">
        <is>
          <t>IS ES Consultants</t>
        </is>
      </c>
      <c r="G231" s="81" t="n">
        <v>100002</v>
      </c>
      <c r="H231" t="inlineStr">
        <is>
          <t>AdvisoryServices.Chief Architect</t>
        </is>
      </c>
      <c r="I231" t="inlineStr">
        <is>
          <t>$</t>
        </is>
      </c>
      <c r="J231" s="81" t="n">
        <v>230.28</v>
      </c>
    </row>
    <row r="232">
      <c r="B232">
        <f>Table1[[#This Row],[Cost Center Name]]&amp;Table1[[#This Row],[Job Name]]&amp;" "&amp;"-"&amp;" "&amp;Table1[[#This Row],[Job Code]]</f>
        <v/>
      </c>
      <c r="C232" t="inlineStr">
        <is>
          <t>US</t>
        </is>
      </c>
      <c r="D232" t="inlineStr">
        <is>
          <t>USD</t>
        </is>
      </c>
      <c r="E232" t="inlineStr">
        <is>
          <t xml:space="preserve">Infrastructure Services </t>
        </is>
      </c>
      <c r="F232" s="81" t="inlineStr">
        <is>
          <t>IS ES Consultants</t>
        </is>
      </c>
      <c r="G232" s="81" t="n">
        <v>100003</v>
      </c>
      <c r="H232" t="inlineStr">
        <is>
          <t>AdvisoryServices.Consultant</t>
        </is>
      </c>
      <c r="I232" t="inlineStr">
        <is>
          <t>$</t>
        </is>
      </c>
      <c r="J232" s="81" t="n">
        <v>166.44</v>
      </c>
    </row>
    <row r="233">
      <c r="B233">
        <f>Table1[[#This Row],[Cost Center Name]]&amp;Table1[[#This Row],[Job Name]]&amp;" "&amp;"-"&amp;" "&amp;Table1[[#This Row],[Job Code]]</f>
        <v/>
      </c>
      <c r="C233" t="inlineStr">
        <is>
          <t>US</t>
        </is>
      </c>
      <c r="D233" t="inlineStr">
        <is>
          <t>USD</t>
        </is>
      </c>
      <c r="E233" t="inlineStr">
        <is>
          <t xml:space="preserve">Infrastructure Services </t>
        </is>
      </c>
      <c r="F233" s="81" t="inlineStr">
        <is>
          <t>IS ES Consultants</t>
        </is>
      </c>
      <c r="G233" s="81" t="n">
        <v>100004</v>
      </c>
      <c r="H233" t="inlineStr">
        <is>
          <t>AdvisoryServices.Enterprise Architect</t>
        </is>
      </c>
      <c r="I233" t="inlineStr">
        <is>
          <t>$</t>
        </is>
      </c>
      <c r="J233" s="81" t="n">
        <v>214.32</v>
      </c>
    </row>
    <row r="234">
      <c r="B234">
        <f>Table1[[#This Row],[Cost Center Name]]&amp;Table1[[#This Row],[Job Name]]&amp;" "&amp;"-"&amp;" "&amp;Table1[[#This Row],[Job Code]]</f>
        <v/>
      </c>
      <c r="C234" t="inlineStr">
        <is>
          <t>US</t>
        </is>
      </c>
      <c r="D234" t="inlineStr">
        <is>
          <t>USD</t>
        </is>
      </c>
      <c r="E234" t="inlineStr">
        <is>
          <t xml:space="preserve">Infrastructure Services </t>
        </is>
      </c>
      <c r="F234" s="81" t="inlineStr">
        <is>
          <t>IS ES Consultants</t>
        </is>
      </c>
      <c r="G234" s="81" t="n">
        <v>100005</v>
      </c>
      <c r="H234" t="inlineStr">
        <is>
          <t>AdvisoryServices.LeadConsultant</t>
        </is>
      </c>
      <c r="I234" t="inlineStr">
        <is>
          <t>$</t>
        </is>
      </c>
      <c r="J234" s="81" t="n">
        <v>200.64</v>
      </c>
    </row>
    <row r="235">
      <c r="B235">
        <f>Table1[[#This Row],[Cost Center Name]]&amp;Table1[[#This Row],[Job Name]]&amp;" "&amp;"-"&amp;" "&amp;Table1[[#This Row],[Job Code]]</f>
        <v/>
      </c>
      <c r="C235" t="inlineStr">
        <is>
          <t>US</t>
        </is>
      </c>
      <c r="D235" t="inlineStr">
        <is>
          <t>USD</t>
        </is>
      </c>
      <c r="E235" t="inlineStr">
        <is>
          <t xml:space="preserve">Infrastructure Services </t>
        </is>
      </c>
      <c r="F235" s="81" t="inlineStr">
        <is>
          <t>IS ES Consultants</t>
        </is>
      </c>
      <c r="G235" s="81" t="n">
        <v>100007</v>
      </c>
      <c r="H235" t="inlineStr">
        <is>
          <t>AdvisoryServices.PrincipalConsultant</t>
        </is>
      </c>
      <c r="I235" t="inlineStr">
        <is>
          <t>$</t>
        </is>
      </c>
      <c r="J235" s="81" t="n">
        <v>218.88</v>
      </c>
    </row>
    <row r="236">
      <c r="B236">
        <f>Table1[[#This Row],[Cost Center Name]]&amp;Table1[[#This Row],[Job Name]]&amp;" "&amp;"-"&amp;" "&amp;Table1[[#This Row],[Job Code]]</f>
        <v/>
      </c>
      <c r="C236" t="inlineStr">
        <is>
          <t>US</t>
        </is>
      </c>
      <c r="D236" t="inlineStr">
        <is>
          <t>USD</t>
        </is>
      </c>
      <c r="E236" t="inlineStr">
        <is>
          <t xml:space="preserve">Infrastructure Services </t>
        </is>
      </c>
      <c r="F236" s="81" t="inlineStr">
        <is>
          <t>IS ES Consultants</t>
        </is>
      </c>
      <c r="G236" s="81" t="n">
        <v>100008</v>
      </c>
      <c r="H236" t="inlineStr">
        <is>
          <t>AdvisoryServices.SeniorConsultant</t>
        </is>
      </c>
      <c r="I236" t="inlineStr">
        <is>
          <t>$</t>
        </is>
      </c>
      <c r="J236" s="81" t="n">
        <v>177.84</v>
      </c>
    </row>
    <row r="237">
      <c r="B237">
        <f>Table1[[#This Row],[Cost Center Name]]&amp;Table1[[#This Row],[Job Name]]&amp;" "&amp;"-"&amp;" "&amp;Table1[[#This Row],[Job Code]]</f>
        <v/>
      </c>
      <c r="C237" t="inlineStr">
        <is>
          <t>US</t>
        </is>
      </c>
      <c r="D237" t="inlineStr">
        <is>
          <t>USD</t>
        </is>
      </c>
      <c r="E237" t="inlineStr">
        <is>
          <t xml:space="preserve">Infrastructure Services </t>
        </is>
      </c>
      <c r="F237" s="81" t="inlineStr">
        <is>
          <t>IS ES Consultants Dedicated</t>
        </is>
      </c>
      <c r="G237" s="81" t="n">
        <v>100002</v>
      </c>
      <c r="H237" t="inlineStr">
        <is>
          <t>AdvisoryServices.Chief Architect</t>
        </is>
      </c>
      <c r="I237" t="inlineStr">
        <is>
          <t>$</t>
        </is>
      </c>
      <c r="J237" s="81" t="n">
        <v>194.93</v>
      </c>
    </row>
    <row r="238">
      <c r="B238">
        <f>Table1[[#This Row],[Cost Center Name]]&amp;Table1[[#This Row],[Job Name]]&amp;" "&amp;"-"&amp;" "&amp;Table1[[#This Row],[Job Code]]</f>
        <v/>
      </c>
      <c r="C238" t="inlineStr">
        <is>
          <t>US</t>
        </is>
      </c>
      <c r="D238" t="inlineStr">
        <is>
          <t>USD</t>
        </is>
      </c>
      <c r="E238" t="inlineStr">
        <is>
          <t xml:space="preserve">Infrastructure Services </t>
        </is>
      </c>
      <c r="F238" s="81" t="inlineStr">
        <is>
          <t>IS ES Consultants Dedicated</t>
        </is>
      </c>
      <c r="G238" s="81" t="n">
        <v>100008</v>
      </c>
      <c r="H238" t="inlineStr">
        <is>
          <t>AdvisoryServices.SeniorConsultant</t>
        </is>
      </c>
      <c r="I238" t="inlineStr">
        <is>
          <t>$</t>
        </is>
      </c>
      <c r="J238" s="81" t="n">
        <v>150.54</v>
      </c>
    </row>
    <row r="239">
      <c r="B239">
        <f>Table1[[#This Row],[Cost Center Name]]&amp;Table1[[#This Row],[Job Name]]&amp;" "&amp;"-"&amp;" "&amp;Table1[[#This Row],[Job Code]]</f>
        <v/>
      </c>
      <c r="C239" t="inlineStr">
        <is>
          <t>US</t>
        </is>
      </c>
      <c r="D239" t="inlineStr">
        <is>
          <t>USD</t>
        </is>
      </c>
      <c r="E239" t="inlineStr">
        <is>
          <t xml:space="preserve">Infrastructure Services </t>
        </is>
      </c>
      <c r="F239" s="81" t="inlineStr">
        <is>
          <t>IS ES Overhead</t>
        </is>
      </c>
      <c r="G239" s="81" t="n">
        <v>100002</v>
      </c>
      <c r="H239" t="inlineStr">
        <is>
          <t>AdvisoryServices.Chief Architect</t>
        </is>
      </c>
      <c r="I239" t="inlineStr">
        <is>
          <t>$</t>
        </is>
      </c>
      <c r="J239" s="81" t="n">
        <v>227.25</v>
      </c>
    </row>
    <row r="240">
      <c r="B240">
        <f>Table1[[#This Row],[Cost Center Name]]&amp;Table1[[#This Row],[Job Name]]&amp;" "&amp;"-"&amp;" "&amp;Table1[[#This Row],[Job Code]]</f>
        <v/>
      </c>
      <c r="C240" t="inlineStr">
        <is>
          <t>US</t>
        </is>
      </c>
      <c r="D240" t="inlineStr">
        <is>
          <t>USD</t>
        </is>
      </c>
      <c r="E240" t="inlineStr">
        <is>
          <t xml:space="preserve">Infrastructure Services </t>
        </is>
      </c>
      <c r="F240" s="81" t="inlineStr">
        <is>
          <t>IS ES Overhead</t>
        </is>
      </c>
      <c r="G240" s="81" t="n">
        <v>100146</v>
      </c>
      <c r="H240" t="inlineStr">
        <is>
          <t>Services Overhead.Director</t>
        </is>
      </c>
      <c r="I240" t="inlineStr">
        <is>
          <t>$</t>
        </is>
      </c>
      <c r="J240" s="81" t="n">
        <v>227.25</v>
      </c>
    </row>
    <row r="241">
      <c r="B241">
        <f>Table1[[#This Row],[Cost Center Name]]&amp;Table1[[#This Row],[Job Name]]&amp;" "&amp;"-"&amp;" "&amp;Table1[[#This Row],[Job Code]]</f>
        <v/>
      </c>
      <c r="C241" t="inlineStr">
        <is>
          <t>US</t>
        </is>
      </c>
      <c r="D241" t="inlineStr">
        <is>
          <t>USD</t>
        </is>
      </c>
      <c r="E241" t="inlineStr">
        <is>
          <t xml:space="preserve">Infrastructure Services </t>
        </is>
      </c>
      <c r="F241" s="81" t="inlineStr">
        <is>
          <t>IS ES Overhead</t>
        </is>
      </c>
      <c r="G241" s="81" t="n">
        <v>100148</v>
      </c>
      <c r="H241" t="inlineStr">
        <is>
          <t>Services Overhead.Manager</t>
        </is>
      </c>
      <c r="I241" t="inlineStr">
        <is>
          <t>$</t>
        </is>
      </c>
      <c r="J241" s="81" t="n">
        <v>159.75</v>
      </c>
    </row>
    <row r="242">
      <c r="B242">
        <f>Table1[[#This Row],[Cost Center Name]]&amp;Table1[[#This Row],[Job Name]]&amp;" "&amp;"-"&amp;" "&amp;Table1[[#This Row],[Job Code]]</f>
        <v/>
      </c>
      <c r="C242" t="inlineStr">
        <is>
          <t>US</t>
        </is>
      </c>
      <c r="D242" t="inlineStr">
        <is>
          <t>USD</t>
        </is>
      </c>
      <c r="E242" t="inlineStr">
        <is>
          <t xml:space="preserve">Infrastructure Services </t>
        </is>
      </c>
      <c r="F242" s="81" t="inlineStr">
        <is>
          <t>IS ET R&amp;D</t>
        </is>
      </c>
      <c r="G242" s="81" t="n">
        <v>100148</v>
      </c>
      <c r="H242" t="inlineStr">
        <is>
          <t>Services Overhead.Manager</t>
        </is>
      </c>
      <c r="I242" t="inlineStr">
        <is>
          <t>$</t>
        </is>
      </c>
      <c r="J242" s="81" t="n">
        <v>159.75</v>
      </c>
    </row>
    <row r="243">
      <c r="B243">
        <f>Table1[[#This Row],[Cost Center Name]]&amp;Table1[[#This Row],[Job Name]]&amp;" "&amp;"-"&amp;" "&amp;Table1[[#This Row],[Job Code]]</f>
        <v/>
      </c>
      <c r="C243" t="inlineStr">
        <is>
          <t>US</t>
        </is>
      </c>
      <c r="D243" t="inlineStr">
        <is>
          <t>USD</t>
        </is>
      </c>
      <c r="E243" t="inlineStr">
        <is>
          <t xml:space="preserve">Infrastructure Services </t>
        </is>
      </c>
      <c r="F243" s="81" t="inlineStr">
        <is>
          <t>IS ET R&amp;D</t>
        </is>
      </c>
      <c r="G243" s="81" t="n">
        <v>100149</v>
      </c>
      <c r="H243" t="inlineStr">
        <is>
          <t>Services Overhead.Staff</t>
        </is>
      </c>
      <c r="I243" t="inlineStr">
        <is>
          <t>$</t>
        </is>
      </c>
      <c r="J243" s="81" t="n">
        <v>99</v>
      </c>
    </row>
    <row r="244">
      <c r="B244">
        <f>Table1[[#This Row],[Cost Center Name]]&amp;Table1[[#This Row],[Job Name]]&amp;" "&amp;"-"&amp;" "&amp;Table1[[#This Row],[Job Code]]</f>
        <v/>
      </c>
      <c r="C244" t="inlineStr">
        <is>
          <t>US</t>
        </is>
      </c>
      <c r="D244" t="inlineStr">
        <is>
          <t>USD</t>
        </is>
      </c>
      <c r="E244" t="inlineStr">
        <is>
          <t xml:space="preserve">Infrastructure Services </t>
        </is>
      </c>
      <c r="F244" s="81" t="inlineStr">
        <is>
          <t>IS MS Enablement</t>
        </is>
      </c>
      <c r="G244" s="81" t="n">
        <v>100139</v>
      </c>
      <c r="H244" t="inlineStr">
        <is>
          <t>Project Management.PM</t>
        </is>
      </c>
      <c r="I244" t="inlineStr">
        <is>
          <t>$</t>
        </is>
      </c>
      <c r="J244" s="81" t="n">
        <v>109.48</v>
      </c>
    </row>
    <row r="245">
      <c r="B245">
        <f>Table1[[#This Row],[Cost Center Name]]&amp;Table1[[#This Row],[Job Name]]&amp;" "&amp;"-"&amp;" "&amp;Table1[[#This Row],[Job Code]]</f>
        <v/>
      </c>
      <c r="C245" t="inlineStr">
        <is>
          <t>US</t>
        </is>
      </c>
      <c r="D245" t="inlineStr">
        <is>
          <t>USD</t>
        </is>
      </c>
      <c r="E245" t="inlineStr">
        <is>
          <t xml:space="preserve">Infrastructure Services </t>
        </is>
      </c>
      <c r="F245" s="81" t="inlineStr">
        <is>
          <t>IS MS Enablement</t>
        </is>
      </c>
      <c r="G245" s="81" t="n">
        <v>100148</v>
      </c>
      <c r="H245" t="inlineStr">
        <is>
          <t>Services Overhead.Manager</t>
        </is>
      </c>
      <c r="I245" t="inlineStr">
        <is>
          <t>$</t>
        </is>
      </c>
      <c r="J245" s="81" t="n">
        <v>168.98</v>
      </c>
    </row>
    <row r="246">
      <c r="B246">
        <f>Table1[[#This Row],[Cost Center Name]]&amp;Table1[[#This Row],[Job Name]]&amp;" "&amp;"-"&amp;" "&amp;Table1[[#This Row],[Job Code]]</f>
        <v/>
      </c>
      <c r="C246" t="inlineStr">
        <is>
          <t>US</t>
        </is>
      </c>
      <c r="D246" t="inlineStr">
        <is>
          <t>USD</t>
        </is>
      </c>
      <c r="E246" t="inlineStr">
        <is>
          <t xml:space="preserve">Infrastructure Services </t>
        </is>
      </c>
      <c r="F246" s="81" t="inlineStr">
        <is>
          <t>IS MS Enablement</t>
        </is>
      </c>
      <c r="G246" s="81" t="n">
        <v>100152</v>
      </c>
      <c r="H246" t="inlineStr">
        <is>
          <t>R&amp;S.Engineer</t>
        </is>
      </c>
      <c r="I246" t="inlineStr">
        <is>
          <t>$</t>
        </is>
      </c>
      <c r="J246" s="81" t="n">
        <v>138.04</v>
      </c>
    </row>
    <row r="247">
      <c r="B247">
        <f>Table1[[#This Row],[Cost Center Name]]&amp;Table1[[#This Row],[Job Name]]&amp;" "&amp;"-"&amp;" "&amp;Table1[[#This Row],[Job Code]]</f>
        <v/>
      </c>
      <c r="C247" t="inlineStr">
        <is>
          <t>US</t>
        </is>
      </c>
      <c r="D247" t="inlineStr">
        <is>
          <t>USD</t>
        </is>
      </c>
      <c r="E247" t="inlineStr">
        <is>
          <t xml:space="preserve">Infrastructure Services </t>
        </is>
      </c>
      <c r="F247" s="81" t="inlineStr">
        <is>
          <t>IS MS Enablement</t>
        </is>
      </c>
      <c r="G247" s="81" t="n">
        <v>100153</v>
      </c>
      <c r="H247" t="inlineStr">
        <is>
          <t>R&amp;S.Sr Engineer</t>
        </is>
      </c>
      <c r="I247" t="inlineStr">
        <is>
          <t>$</t>
        </is>
      </c>
      <c r="J247" s="81" t="n">
        <v>190.4</v>
      </c>
    </row>
    <row r="248">
      <c r="B248">
        <f>Table1[[#This Row],[Cost Center Name]]&amp;Table1[[#This Row],[Job Name]]&amp;" "&amp;"-"&amp;" "&amp;Table1[[#This Row],[Job Code]]</f>
        <v/>
      </c>
      <c r="C248" t="inlineStr">
        <is>
          <t>US</t>
        </is>
      </c>
      <c r="D248" t="inlineStr">
        <is>
          <t>USD</t>
        </is>
      </c>
      <c r="E248" t="inlineStr">
        <is>
          <t xml:space="preserve">Infrastructure Services </t>
        </is>
      </c>
      <c r="F248" s="81" t="inlineStr">
        <is>
          <t>IS MS Enablement</t>
        </is>
      </c>
      <c r="G248" s="81" t="n">
        <v>100168</v>
      </c>
      <c r="H248" t="inlineStr">
        <is>
          <t>Support.Engineer</t>
        </is>
      </c>
      <c r="I248" t="inlineStr">
        <is>
          <t>$</t>
        </is>
      </c>
      <c r="J248" s="81" t="n">
        <v>99.95999999999999</v>
      </c>
    </row>
    <row r="249">
      <c r="B249">
        <f>Table1[[#This Row],[Cost Center Name]]&amp;Table1[[#This Row],[Job Name]]&amp;" "&amp;"-"&amp;" "&amp;Table1[[#This Row],[Job Code]]</f>
        <v/>
      </c>
      <c r="C249" t="inlineStr">
        <is>
          <t>US</t>
        </is>
      </c>
      <c r="D249" t="inlineStr">
        <is>
          <t>USD</t>
        </is>
      </c>
      <c r="E249" t="inlineStr">
        <is>
          <t xml:space="preserve">Infrastructure Services </t>
        </is>
      </c>
      <c r="F249" s="81" t="inlineStr">
        <is>
          <t>IS MS Enablement</t>
        </is>
      </c>
      <c r="G249" s="81" t="n">
        <v>100177</v>
      </c>
      <c r="H249" t="inlineStr">
        <is>
          <t>Voice.Engineer</t>
        </is>
      </c>
      <c r="I249" t="inlineStr">
        <is>
          <t>$</t>
        </is>
      </c>
      <c r="J249" s="81" t="n">
        <v>149.94</v>
      </c>
    </row>
    <row r="250">
      <c r="B250">
        <f>Table1[[#This Row],[Cost Center Name]]&amp;Table1[[#This Row],[Job Name]]&amp;" "&amp;"-"&amp;" "&amp;Table1[[#This Row],[Job Code]]</f>
        <v/>
      </c>
      <c r="C250" t="inlineStr">
        <is>
          <t>US</t>
        </is>
      </c>
      <c r="D250" t="inlineStr">
        <is>
          <t>USD</t>
        </is>
      </c>
      <c r="E250" t="inlineStr">
        <is>
          <t xml:space="preserve">Infrastructure Services </t>
        </is>
      </c>
      <c r="F250" s="81" t="inlineStr">
        <is>
          <t>IS MS Enablement</t>
        </is>
      </c>
      <c r="G250" s="81" t="n">
        <v>100178</v>
      </c>
      <c r="H250" t="inlineStr">
        <is>
          <t>Voice.Sr Engineer</t>
        </is>
      </c>
      <c r="I250" t="inlineStr">
        <is>
          <t>$</t>
        </is>
      </c>
      <c r="J250" s="81" t="n">
        <v>183.26</v>
      </c>
    </row>
    <row r="251">
      <c r="B251">
        <f>Table1[[#This Row],[Cost Center Name]]&amp;Table1[[#This Row],[Job Name]]&amp;" "&amp;"-"&amp;" "&amp;Table1[[#This Row],[Job Code]]</f>
        <v/>
      </c>
      <c r="C251" t="inlineStr">
        <is>
          <t>US</t>
        </is>
      </c>
      <c r="D251" t="inlineStr">
        <is>
          <t>USD</t>
        </is>
      </c>
      <c r="E251" t="inlineStr">
        <is>
          <t xml:space="preserve">Infrastructure Services </t>
        </is>
      </c>
      <c r="F251" s="81" t="inlineStr">
        <is>
          <t>IS MS Enablement</t>
        </is>
      </c>
      <c r="G251" s="81" t="n">
        <v>100246</v>
      </c>
      <c r="H251" t="inlineStr">
        <is>
          <t>Managed Svcs.Client Exp Champion</t>
        </is>
      </c>
      <c r="I251" t="inlineStr">
        <is>
          <t>$</t>
        </is>
      </c>
      <c r="J251" s="81" t="n">
        <v>154.7</v>
      </c>
    </row>
    <row r="252">
      <c r="B252">
        <f>Table1[[#This Row],[Cost Center Name]]&amp;Table1[[#This Row],[Job Name]]&amp;" "&amp;"-"&amp;" "&amp;Table1[[#This Row],[Job Code]]</f>
        <v/>
      </c>
      <c r="C252" t="inlineStr">
        <is>
          <t>US</t>
        </is>
      </c>
      <c r="D252" t="inlineStr">
        <is>
          <t>USD</t>
        </is>
      </c>
      <c r="E252" t="inlineStr">
        <is>
          <t xml:space="preserve">Infrastructure Services </t>
        </is>
      </c>
      <c r="F252" s="81" t="inlineStr">
        <is>
          <t>IS MS Enablement</t>
        </is>
      </c>
      <c r="G252" s="81" t="n">
        <v>100247</v>
      </c>
      <c r="H252" t="inlineStr">
        <is>
          <t>Managed Svcs.Client Exp Specialist</t>
        </is>
      </c>
      <c r="I252" t="inlineStr">
        <is>
          <t>$</t>
        </is>
      </c>
      <c r="J252" s="81" t="n">
        <v>76.16</v>
      </c>
    </row>
    <row r="253">
      <c r="B253">
        <f>Table1[[#This Row],[Cost Center Name]]&amp;Table1[[#This Row],[Job Name]]&amp;" "&amp;"-"&amp;" "&amp;Table1[[#This Row],[Job Code]]</f>
        <v/>
      </c>
      <c r="C253" t="inlineStr">
        <is>
          <t>US</t>
        </is>
      </c>
      <c r="D253" t="inlineStr">
        <is>
          <t>USD</t>
        </is>
      </c>
      <c r="E253" t="inlineStr">
        <is>
          <t xml:space="preserve">Infrastructure Services </t>
        </is>
      </c>
      <c r="F253" s="81" t="inlineStr">
        <is>
          <t>IS MS Overhead</t>
        </is>
      </c>
      <c r="G253" s="81" t="n">
        <v>100146</v>
      </c>
      <c r="H253" t="inlineStr">
        <is>
          <t>Services Overhead.Director</t>
        </is>
      </c>
      <c r="I253" t="inlineStr">
        <is>
          <t>$</t>
        </is>
      </c>
      <c r="J253" s="81" t="n">
        <v>227.25</v>
      </c>
    </row>
    <row r="254">
      <c r="B254">
        <f>Table1[[#This Row],[Cost Center Name]]&amp;Table1[[#This Row],[Job Name]]&amp;" "&amp;"-"&amp;" "&amp;Table1[[#This Row],[Job Code]]</f>
        <v/>
      </c>
      <c r="C254" t="inlineStr">
        <is>
          <t>US</t>
        </is>
      </c>
      <c r="D254" t="inlineStr">
        <is>
          <t>USD</t>
        </is>
      </c>
      <c r="E254" t="inlineStr">
        <is>
          <t xml:space="preserve">Infrastructure Services </t>
        </is>
      </c>
      <c r="F254" s="81" t="inlineStr">
        <is>
          <t>IS MS Overhead</t>
        </is>
      </c>
      <c r="G254" s="81" t="n">
        <v>100149</v>
      </c>
      <c r="H254" t="inlineStr">
        <is>
          <t>Services Overhead.Staff</t>
        </is>
      </c>
      <c r="I254" t="inlineStr">
        <is>
          <t>$</t>
        </is>
      </c>
      <c r="J254" s="81" t="n">
        <v>99</v>
      </c>
    </row>
    <row r="255">
      <c r="B255">
        <f>Table1[[#This Row],[Cost Center Name]]&amp;Table1[[#This Row],[Job Name]]&amp;" "&amp;"-"&amp;" "&amp;Table1[[#This Row],[Job Code]]</f>
        <v/>
      </c>
      <c r="C255" t="inlineStr">
        <is>
          <t>US</t>
        </is>
      </c>
      <c r="D255" t="inlineStr">
        <is>
          <t>USD</t>
        </is>
      </c>
      <c r="E255" t="inlineStr">
        <is>
          <t xml:space="preserve">Infrastructure Services </t>
        </is>
      </c>
      <c r="F255" s="81" t="inlineStr">
        <is>
          <t>IS OH Allctd</t>
        </is>
      </c>
      <c r="G255" s="81" t="n">
        <v>100148</v>
      </c>
      <c r="H255" t="inlineStr">
        <is>
          <t>Services Overhead.Manager</t>
        </is>
      </c>
      <c r="I255" t="inlineStr">
        <is>
          <t>$</t>
        </is>
      </c>
      <c r="J255" s="81" t="n">
        <v>159.75</v>
      </c>
    </row>
    <row r="256">
      <c r="B256">
        <f>Table1[[#This Row],[Cost Center Name]]&amp;Table1[[#This Row],[Job Name]]&amp;" "&amp;"-"&amp;" "&amp;Table1[[#This Row],[Job Code]]</f>
        <v/>
      </c>
      <c r="C256" t="inlineStr">
        <is>
          <t>US</t>
        </is>
      </c>
      <c r="D256" t="inlineStr">
        <is>
          <t>USD</t>
        </is>
      </c>
      <c r="E256" t="inlineStr">
        <is>
          <t xml:space="preserve">Infrastructure Services </t>
        </is>
      </c>
      <c r="F256" s="81" t="inlineStr">
        <is>
          <t>IS OH Allctd - GES Central</t>
        </is>
      </c>
      <c r="G256" s="81" t="n">
        <v>100148</v>
      </c>
      <c r="H256" t="inlineStr">
        <is>
          <t>Services Overhead.Manager</t>
        </is>
      </c>
      <c r="I256" t="inlineStr">
        <is>
          <t>$</t>
        </is>
      </c>
      <c r="J256" s="81" t="n">
        <v>159.75</v>
      </c>
    </row>
    <row r="257">
      <c r="B257">
        <f>Table1[[#This Row],[Cost Center Name]]&amp;Table1[[#This Row],[Job Name]]&amp;" "&amp;"-"&amp;" "&amp;Table1[[#This Row],[Job Code]]</f>
        <v/>
      </c>
      <c r="C257" t="inlineStr">
        <is>
          <t>US</t>
        </is>
      </c>
      <c r="D257" t="inlineStr">
        <is>
          <t>USD</t>
        </is>
      </c>
      <c r="E257" t="inlineStr">
        <is>
          <t xml:space="preserve">Infrastructure Services </t>
        </is>
      </c>
      <c r="F257" s="81" t="inlineStr">
        <is>
          <t>IS OH Allctd - GES East Ent</t>
        </is>
      </c>
      <c r="G257" s="81" t="n">
        <v>100148</v>
      </c>
      <c r="H257" t="inlineStr">
        <is>
          <t>Services Overhead.Manager</t>
        </is>
      </c>
      <c r="I257" t="inlineStr">
        <is>
          <t>$</t>
        </is>
      </c>
      <c r="J257" s="81" t="n">
        <v>159.75</v>
      </c>
    </row>
    <row r="258">
      <c r="B258">
        <f>Table1[[#This Row],[Cost Center Name]]&amp;Table1[[#This Row],[Job Name]]&amp;" "&amp;"-"&amp;" "&amp;Table1[[#This Row],[Job Code]]</f>
        <v/>
      </c>
      <c r="C258" t="inlineStr">
        <is>
          <t>US</t>
        </is>
      </c>
      <c r="D258" t="inlineStr">
        <is>
          <t>USD</t>
        </is>
      </c>
      <c r="E258" t="inlineStr">
        <is>
          <t xml:space="preserve">Infrastructure Services </t>
        </is>
      </c>
      <c r="F258" s="81" t="inlineStr">
        <is>
          <t>IS OH Allctd - GES Global</t>
        </is>
      </c>
      <c r="G258" s="81" t="n">
        <v>100148</v>
      </c>
      <c r="H258" t="inlineStr">
        <is>
          <t>Services Overhead.Manager</t>
        </is>
      </c>
      <c r="I258" t="inlineStr">
        <is>
          <t>$</t>
        </is>
      </c>
      <c r="J258" s="81" t="n">
        <v>159.75</v>
      </c>
    </row>
    <row r="259">
      <c r="B259">
        <f>Table1[[#This Row],[Cost Center Name]]&amp;Table1[[#This Row],[Job Name]]&amp;" "&amp;"-"&amp;" "&amp;Table1[[#This Row],[Job Code]]</f>
        <v/>
      </c>
      <c r="C259" t="inlineStr">
        <is>
          <t>US</t>
        </is>
      </c>
      <c r="D259" t="inlineStr">
        <is>
          <t>USD</t>
        </is>
      </c>
      <c r="E259" t="inlineStr">
        <is>
          <t xml:space="preserve">Infrastructure Services </t>
        </is>
      </c>
      <c r="F259" s="81" t="inlineStr">
        <is>
          <t>IS OH Allctd - GES West</t>
        </is>
      </c>
      <c r="G259" s="81" t="n">
        <v>100148</v>
      </c>
      <c r="H259" t="inlineStr">
        <is>
          <t>Services Overhead.Manager</t>
        </is>
      </c>
      <c r="I259" t="inlineStr">
        <is>
          <t>$</t>
        </is>
      </c>
      <c r="J259" s="81" t="n">
        <v>159.75</v>
      </c>
    </row>
    <row r="260">
      <c r="B260">
        <f>Table1[[#This Row],[Cost Center Name]]&amp;Table1[[#This Row],[Job Name]]&amp;" "&amp;"-"&amp;" "&amp;Table1[[#This Row],[Job Code]]</f>
        <v/>
      </c>
      <c r="C260" t="inlineStr">
        <is>
          <t>US</t>
        </is>
      </c>
      <c r="D260" t="inlineStr">
        <is>
          <t>USD</t>
        </is>
      </c>
      <c r="E260" t="inlineStr">
        <is>
          <t xml:space="preserve">Infrastructure Services </t>
        </is>
      </c>
      <c r="F260" s="81" t="inlineStr">
        <is>
          <t>IS OH Allctd - Public Sector</t>
        </is>
      </c>
      <c r="G260" s="81" t="n">
        <v>100148</v>
      </c>
      <c r="H260" t="inlineStr">
        <is>
          <t>Services Overhead.Manager</t>
        </is>
      </c>
      <c r="I260" t="inlineStr">
        <is>
          <t>$</t>
        </is>
      </c>
      <c r="J260" s="81" t="n">
        <v>159.75</v>
      </c>
    </row>
    <row r="261">
      <c r="B261">
        <f>Table1[[#This Row],[Cost Center Name]]&amp;Table1[[#This Row],[Job Name]]&amp;" "&amp;"-"&amp;" "&amp;Table1[[#This Row],[Job Code]]</f>
        <v/>
      </c>
      <c r="C261" t="inlineStr">
        <is>
          <t>US</t>
        </is>
      </c>
      <c r="D261" t="inlineStr">
        <is>
          <t>USD</t>
        </is>
      </c>
      <c r="E261" t="inlineStr">
        <is>
          <t xml:space="preserve">Infrastructure Services </t>
        </is>
      </c>
      <c r="F261" s="81" t="inlineStr">
        <is>
          <t>IS OH Allctd Kaiser Prgm</t>
        </is>
      </c>
      <c r="G261" s="81" t="n">
        <v>100107</v>
      </c>
      <c r="H261" t="inlineStr">
        <is>
          <t>Engineering.Coordinator</t>
        </is>
      </c>
      <c r="I261" t="inlineStr">
        <is>
          <t>$</t>
        </is>
      </c>
      <c r="J261" s="81" t="n">
        <v>76.5</v>
      </c>
    </row>
    <row r="262">
      <c r="B262">
        <f>Table1[[#This Row],[Cost Center Name]]&amp;Table1[[#This Row],[Job Name]]&amp;" "&amp;"-"&amp;" "&amp;Table1[[#This Row],[Job Code]]</f>
        <v/>
      </c>
      <c r="C262" t="inlineStr">
        <is>
          <t>US</t>
        </is>
      </c>
      <c r="D262" t="inlineStr">
        <is>
          <t>USD</t>
        </is>
      </c>
      <c r="E262" t="inlineStr">
        <is>
          <t xml:space="preserve">Infrastructure Services </t>
        </is>
      </c>
      <c r="F262" s="81" t="inlineStr">
        <is>
          <t>IS OH Allctd Kaiser Prgm</t>
        </is>
      </c>
      <c r="G262" s="81" t="n">
        <v>100148</v>
      </c>
      <c r="H262" t="inlineStr">
        <is>
          <t>Services Overhead.Manager</t>
        </is>
      </c>
      <c r="I262" t="inlineStr">
        <is>
          <t>$</t>
        </is>
      </c>
      <c r="J262" s="81" t="n">
        <v>159.75</v>
      </c>
    </row>
    <row r="263">
      <c r="B263">
        <f>Table1[[#This Row],[Cost Center Name]]&amp;Table1[[#This Row],[Job Name]]&amp;" "&amp;"-"&amp;" "&amp;Table1[[#This Row],[Job Code]]</f>
        <v/>
      </c>
      <c r="C263" t="inlineStr">
        <is>
          <t>US</t>
        </is>
      </c>
      <c r="D263" t="inlineStr">
        <is>
          <t>USD</t>
        </is>
      </c>
      <c r="E263" t="inlineStr">
        <is>
          <t xml:space="preserve">Infrastructure Services </t>
        </is>
      </c>
      <c r="F263" s="81" t="inlineStr">
        <is>
          <t>IS OH Allctd Kaiser Prgm</t>
        </is>
      </c>
      <c r="G263" s="81" t="n">
        <v>100151</v>
      </c>
      <c r="H263" t="inlineStr">
        <is>
          <t>R&amp;S.Architect</t>
        </is>
      </c>
      <c r="I263" t="inlineStr">
        <is>
          <t>$</t>
        </is>
      </c>
      <c r="J263" s="81" t="n">
        <v>195.75</v>
      </c>
    </row>
    <row r="264">
      <c r="B264">
        <f>Table1[[#This Row],[Cost Center Name]]&amp;Table1[[#This Row],[Job Name]]&amp;" "&amp;"-"&amp;" "&amp;Table1[[#This Row],[Job Code]]</f>
        <v/>
      </c>
      <c r="C264" t="inlineStr">
        <is>
          <t>US</t>
        </is>
      </c>
      <c r="D264" t="inlineStr">
        <is>
          <t>USD</t>
        </is>
      </c>
      <c r="E264" t="inlineStr">
        <is>
          <t xml:space="preserve">Infrastructure Services </t>
        </is>
      </c>
      <c r="F264" s="81" t="inlineStr">
        <is>
          <t>IS OH Allctd Kaiser Prgm</t>
        </is>
      </c>
      <c r="G264" s="81" t="n">
        <v>100176</v>
      </c>
      <c r="H264" t="inlineStr">
        <is>
          <t>Voice.Architect</t>
        </is>
      </c>
      <c r="I264" t="inlineStr">
        <is>
          <t>$</t>
        </is>
      </c>
      <c r="J264" s="81" t="n">
        <v>200.25</v>
      </c>
    </row>
    <row r="265">
      <c r="B265">
        <f>Table1[[#This Row],[Cost Center Name]]&amp;Table1[[#This Row],[Job Name]]&amp;" "&amp;"-"&amp;" "&amp;Table1[[#This Row],[Job Code]]</f>
        <v/>
      </c>
      <c r="C265" t="inlineStr">
        <is>
          <t>US</t>
        </is>
      </c>
      <c r="D265" t="inlineStr">
        <is>
          <t>USD</t>
        </is>
      </c>
      <c r="E265" t="inlineStr">
        <is>
          <t xml:space="preserve">Infrastructure Services </t>
        </is>
      </c>
      <c r="F265" s="81" t="inlineStr">
        <is>
          <t>IS OH Overhead</t>
        </is>
      </c>
      <c r="G265" s="81" t="n">
        <v>100142</v>
      </c>
      <c r="H265" t="inlineStr">
        <is>
          <t>Project Management.Sr PM</t>
        </is>
      </c>
      <c r="I265" t="inlineStr">
        <is>
          <t>$</t>
        </is>
      </c>
      <c r="J265" s="81" t="n">
        <v>146.25</v>
      </c>
    </row>
    <row r="266">
      <c r="B266">
        <f>Table1[[#This Row],[Cost Center Name]]&amp;" "&amp;Table1[[#This Row],[Job Name]]&amp;" "&amp;"-"&amp;" "&amp;Table1[[#This Row],[Job Code]]</f>
        <v/>
      </c>
      <c r="C266" t="inlineStr">
        <is>
          <t>US</t>
        </is>
      </c>
      <c r="D266" t="inlineStr">
        <is>
          <t>USD</t>
        </is>
      </c>
      <c r="E266" t="inlineStr">
        <is>
          <t xml:space="preserve">Infrastructure Services </t>
        </is>
      </c>
      <c r="F266" s="81" t="inlineStr">
        <is>
          <t>IS OH Overhead</t>
        </is>
      </c>
      <c r="G266" s="81" t="n">
        <v>100146</v>
      </c>
      <c r="H266" t="inlineStr">
        <is>
          <t>Services Overhead.Director</t>
        </is>
      </c>
      <c r="I266" t="inlineStr">
        <is>
          <t>$</t>
        </is>
      </c>
      <c r="J266" s="81" t="n">
        <v>227.25</v>
      </c>
    </row>
    <row r="267">
      <c r="B267">
        <f>Table1[[#This Row],[Cost Center Name]]&amp;" "&amp;Table1[[#This Row],[Job Name]]&amp;" "&amp;"-"&amp;" "&amp;Table1[[#This Row],[Job Code]]</f>
        <v/>
      </c>
      <c r="C267" t="inlineStr">
        <is>
          <t>US</t>
        </is>
      </c>
      <c r="D267" t="inlineStr">
        <is>
          <t>USD</t>
        </is>
      </c>
      <c r="E267" t="inlineStr">
        <is>
          <t xml:space="preserve">Infrastructure Services </t>
        </is>
      </c>
      <c r="F267" s="81" t="inlineStr">
        <is>
          <t>IS OH Overhead</t>
        </is>
      </c>
      <c r="G267" s="81" t="n">
        <v>100148</v>
      </c>
      <c r="H267" t="inlineStr">
        <is>
          <t>Services Overhead.Manager</t>
        </is>
      </c>
      <c r="I267" t="inlineStr">
        <is>
          <t>$</t>
        </is>
      </c>
      <c r="J267" s="81" t="n">
        <v>159.75</v>
      </c>
    </row>
    <row r="268">
      <c r="B268">
        <f>Table1[[#This Row],[Cost Center Name]]&amp;" "&amp;Table1[[#This Row],[Job Name]]&amp;" "&amp;"-"&amp;" "&amp;Table1[[#This Row],[Job Code]]</f>
        <v/>
      </c>
      <c r="C268" t="inlineStr">
        <is>
          <t>US</t>
        </is>
      </c>
      <c r="D268" t="inlineStr">
        <is>
          <t>USD</t>
        </is>
      </c>
      <c r="E268" t="inlineStr">
        <is>
          <t xml:space="preserve">Infrastructure Services </t>
        </is>
      </c>
      <c r="F268" s="81" t="inlineStr">
        <is>
          <t>IS OH Practice Mgmt</t>
        </is>
      </c>
      <c r="G268" s="81" t="n">
        <v>100080</v>
      </c>
      <c r="H268" t="inlineStr">
        <is>
          <t>Data Center.Architect</t>
        </is>
      </c>
      <c r="I268" t="inlineStr">
        <is>
          <t>$</t>
        </is>
      </c>
      <c r="J268" s="81" t="n">
        <v>191.25</v>
      </c>
    </row>
    <row r="269">
      <c r="B269">
        <f>Table1[[#This Row],[Cost Center Name]]&amp;" "&amp;Table1[[#This Row],[Job Name]]&amp;" "&amp;"-"&amp;" "&amp;Table1[[#This Row],[Job Code]]</f>
        <v/>
      </c>
      <c r="C269" t="inlineStr">
        <is>
          <t>US</t>
        </is>
      </c>
      <c r="D269" t="inlineStr">
        <is>
          <t>USD</t>
        </is>
      </c>
      <c r="E269" t="inlineStr">
        <is>
          <t xml:space="preserve">Infrastructure Services </t>
        </is>
      </c>
      <c r="F269" s="81" t="inlineStr">
        <is>
          <t>IS OH Practice Mgmt</t>
        </is>
      </c>
      <c r="G269" s="81" t="n">
        <v>100151</v>
      </c>
      <c r="H269" t="inlineStr">
        <is>
          <t>R&amp;S.Architect</t>
        </is>
      </c>
      <c r="I269" t="inlineStr">
        <is>
          <t>$</t>
        </is>
      </c>
      <c r="J269" s="81" t="n">
        <v>195.75</v>
      </c>
    </row>
    <row r="270">
      <c r="B270">
        <f>Table1[[#This Row],[Cost Center Name]]&amp;" "&amp;Table1[[#This Row],[Job Name]]&amp;" "&amp;"-"&amp;" "&amp;Table1[[#This Row],[Job Code]]</f>
        <v/>
      </c>
      <c r="C270" t="inlineStr">
        <is>
          <t>US</t>
        </is>
      </c>
      <c r="D270" t="inlineStr">
        <is>
          <t>USD</t>
        </is>
      </c>
      <c r="E270" t="inlineStr">
        <is>
          <t xml:space="preserve">Infrastructure Services </t>
        </is>
      </c>
      <c r="F270" s="81" t="inlineStr">
        <is>
          <t>IS OH Practice Mgmt</t>
        </is>
      </c>
      <c r="G270" s="81" t="n">
        <v>100154</v>
      </c>
      <c r="H270" t="inlineStr">
        <is>
          <t>SDN.Architect</t>
        </is>
      </c>
      <c r="I270" t="inlineStr">
        <is>
          <t>$</t>
        </is>
      </c>
      <c r="J270" s="81" t="n">
        <v>182.25</v>
      </c>
    </row>
    <row r="271">
      <c r="B271">
        <f>Table1[[#This Row],[Cost Center Name]]&amp;" "&amp;Table1[[#This Row],[Job Name]]&amp;" "&amp;"-"&amp;" "&amp;Table1[[#This Row],[Job Code]]</f>
        <v/>
      </c>
      <c r="C271" t="inlineStr">
        <is>
          <t>US</t>
        </is>
      </c>
      <c r="D271" t="inlineStr">
        <is>
          <t>USD</t>
        </is>
      </c>
      <c r="E271" t="inlineStr">
        <is>
          <t xml:space="preserve">Infrastructure Services </t>
        </is>
      </c>
      <c r="F271" s="81" t="inlineStr">
        <is>
          <t>IS OH Practice Mgmt</t>
        </is>
      </c>
      <c r="G271" s="81" t="n">
        <v>100155</v>
      </c>
      <c r="H271" t="inlineStr">
        <is>
          <t>Security.Architect</t>
        </is>
      </c>
      <c r="I271" t="inlineStr">
        <is>
          <t>$</t>
        </is>
      </c>
      <c r="J271" s="81" t="n">
        <v>200.25</v>
      </c>
    </row>
    <row r="272">
      <c r="B272">
        <f>Table1[[#This Row],[Cost Center Name]]&amp;" "&amp;Table1[[#This Row],[Job Name]]&amp;" "&amp;"-"&amp;" "&amp;Table1[[#This Row],[Job Code]]</f>
        <v/>
      </c>
      <c r="C272" t="inlineStr">
        <is>
          <t>US</t>
        </is>
      </c>
      <c r="D272" t="inlineStr">
        <is>
          <t>USD</t>
        </is>
      </c>
      <c r="E272" t="inlineStr">
        <is>
          <t xml:space="preserve">Infrastructure Services </t>
        </is>
      </c>
      <c r="F272" s="81" t="inlineStr">
        <is>
          <t>IS OH Practice Mgmt</t>
        </is>
      </c>
      <c r="G272" s="81" t="n">
        <v>100176</v>
      </c>
      <c r="H272" t="inlineStr">
        <is>
          <t>Voice.Architect</t>
        </is>
      </c>
      <c r="I272" t="inlineStr">
        <is>
          <t>$</t>
        </is>
      </c>
      <c r="J272" s="81" t="n">
        <v>200.25</v>
      </c>
    </row>
    <row r="273">
      <c r="B273">
        <f>Table1[[#This Row],[Cost Center Name]]&amp;" "&amp;Table1[[#This Row],[Job Name]]&amp;" "&amp;"-"&amp;" "&amp;Table1[[#This Row],[Job Code]]</f>
        <v/>
      </c>
      <c r="C273" t="inlineStr">
        <is>
          <t>US</t>
        </is>
      </c>
      <c r="D273" t="inlineStr">
        <is>
          <t>USD</t>
        </is>
      </c>
      <c r="E273" t="inlineStr">
        <is>
          <t xml:space="preserve">Services House </t>
        </is>
      </c>
      <c r="F273" s="81" t="inlineStr">
        <is>
          <t>SV House Allctd - GES Central</t>
        </is>
      </c>
      <c r="G273" s="81" t="n">
        <v>100146</v>
      </c>
      <c r="H273" t="inlineStr">
        <is>
          <t>Services Overhead.Director</t>
        </is>
      </c>
      <c r="I273" t="inlineStr">
        <is>
          <t>$</t>
        </is>
      </c>
      <c r="J273" s="81" t="n">
        <v>227.25</v>
      </c>
    </row>
    <row r="274">
      <c r="B274">
        <f>Table1[[#This Row],[Cost Center Name]]&amp;" "&amp;Table1[[#This Row],[Job Name]]&amp;" "&amp;"-"&amp;" "&amp;Table1[[#This Row],[Job Code]]</f>
        <v/>
      </c>
      <c r="C274" t="inlineStr">
        <is>
          <t>US</t>
        </is>
      </c>
      <c r="D274" t="inlineStr">
        <is>
          <t>USD</t>
        </is>
      </c>
      <c r="E274" t="inlineStr">
        <is>
          <t xml:space="preserve">Services House </t>
        </is>
      </c>
      <c r="F274" s="81" t="inlineStr">
        <is>
          <t>SV House Allctd - GES Central</t>
        </is>
      </c>
      <c r="G274" s="81" t="n">
        <v>100148</v>
      </c>
      <c r="H274" t="inlineStr">
        <is>
          <t>Services Overhead.Manager</t>
        </is>
      </c>
      <c r="I274" t="inlineStr">
        <is>
          <t>$</t>
        </is>
      </c>
      <c r="J274" s="81" t="n">
        <v>159.75</v>
      </c>
    </row>
    <row r="275">
      <c r="B275">
        <f>Table1[[#This Row],[Cost Center Name]]&amp;" "&amp;Table1[[#This Row],[Job Name]]&amp;" "&amp;"-"&amp;" "&amp;Table1[[#This Row],[Job Code]]</f>
        <v/>
      </c>
      <c r="C275" t="inlineStr">
        <is>
          <t>US</t>
        </is>
      </c>
      <c r="D275" t="inlineStr">
        <is>
          <t>USD</t>
        </is>
      </c>
      <c r="E275" t="inlineStr">
        <is>
          <t xml:space="preserve">Services House </t>
        </is>
      </c>
      <c r="F275" s="81" t="inlineStr">
        <is>
          <t>SV House Allctd - GES East Ent</t>
        </is>
      </c>
      <c r="G275" s="81" t="n">
        <v>100146</v>
      </c>
      <c r="H275" t="inlineStr">
        <is>
          <t>Services Overhead.Director</t>
        </is>
      </c>
      <c r="I275" t="inlineStr">
        <is>
          <t>$</t>
        </is>
      </c>
      <c r="J275" s="81" t="n">
        <v>227.25</v>
      </c>
    </row>
    <row r="276">
      <c r="B276">
        <f>Table1[[#This Row],[Cost Center Name]]&amp;" "&amp;Table1[[#This Row],[Job Name]]&amp;" "&amp;"-"&amp;" "&amp;Table1[[#This Row],[Job Code]]</f>
        <v/>
      </c>
      <c r="C276" t="inlineStr">
        <is>
          <t>US</t>
        </is>
      </c>
      <c r="D276" t="inlineStr">
        <is>
          <t>USD</t>
        </is>
      </c>
      <c r="E276" t="inlineStr">
        <is>
          <t xml:space="preserve">Services House </t>
        </is>
      </c>
      <c r="F276" s="81" t="inlineStr">
        <is>
          <t>SV House Allctd - GES East Ent</t>
        </is>
      </c>
      <c r="G276" s="81" t="n">
        <v>100148</v>
      </c>
      <c r="H276" t="inlineStr">
        <is>
          <t>Services Overhead.Manager</t>
        </is>
      </c>
      <c r="I276" t="inlineStr">
        <is>
          <t>$</t>
        </is>
      </c>
      <c r="J276" s="81" t="n">
        <v>159.75</v>
      </c>
    </row>
    <row r="277">
      <c r="B277">
        <f>Table1[[#This Row],[Cost Center Name]]&amp;" "&amp;Table1[[#This Row],[Job Name]]&amp;" "&amp;"-"&amp;" "&amp;Table1[[#This Row],[Job Code]]</f>
        <v/>
      </c>
      <c r="C277" t="inlineStr">
        <is>
          <t>US</t>
        </is>
      </c>
      <c r="D277" t="inlineStr">
        <is>
          <t>USD</t>
        </is>
      </c>
      <c r="E277" t="inlineStr">
        <is>
          <t xml:space="preserve">Services House </t>
        </is>
      </c>
      <c r="F277" s="81" t="inlineStr">
        <is>
          <t>SV House Allctd - GES Global</t>
        </is>
      </c>
      <c r="G277" s="81" t="n">
        <v>100148</v>
      </c>
      <c r="H277" t="inlineStr">
        <is>
          <t>Services Overhead.Manager</t>
        </is>
      </c>
      <c r="I277" t="inlineStr">
        <is>
          <t>$</t>
        </is>
      </c>
      <c r="J277" s="81" t="n">
        <v>159.75</v>
      </c>
    </row>
    <row r="278">
      <c r="B278">
        <f>Table1[[#This Row],[Cost Center Name]]&amp;" "&amp;Table1[[#This Row],[Job Name]]&amp;" "&amp;"-"&amp;" "&amp;Table1[[#This Row],[Job Code]]</f>
        <v/>
      </c>
      <c r="C278" t="inlineStr">
        <is>
          <t>US</t>
        </is>
      </c>
      <c r="D278" t="inlineStr">
        <is>
          <t>USD</t>
        </is>
      </c>
      <c r="E278" t="inlineStr">
        <is>
          <t xml:space="preserve">Services House </t>
        </is>
      </c>
      <c r="F278" s="81" t="inlineStr">
        <is>
          <t>SV House Allctd - GES West</t>
        </is>
      </c>
      <c r="G278" s="81" t="n">
        <v>100146</v>
      </c>
      <c r="H278" t="inlineStr">
        <is>
          <t>Services Overhead.Director</t>
        </is>
      </c>
      <c r="I278" t="inlineStr">
        <is>
          <t>$</t>
        </is>
      </c>
      <c r="J278" s="81" t="n">
        <v>227.25</v>
      </c>
    </row>
    <row r="279">
      <c r="B279">
        <f>Table1[[#This Row],[Cost Center Name]]&amp;" "&amp;Table1[[#This Row],[Job Name]]&amp;" "&amp;"-"&amp;" "&amp;Table1[[#This Row],[Job Code]]</f>
        <v/>
      </c>
      <c r="C279" t="inlineStr">
        <is>
          <t>US</t>
        </is>
      </c>
      <c r="D279" t="inlineStr">
        <is>
          <t>USD</t>
        </is>
      </c>
      <c r="E279" t="inlineStr">
        <is>
          <t xml:space="preserve">Services House </t>
        </is>
      </c>
      <c r="F279" s="81" t="inlineStr">
        <is>
          <t>SV House Allctd - GES West</t>
        </is>
      </c>
      <c r="G279" s="81" t="n">
        <v>100148</v>
      </c>
      <c r="H279" t="inlineStr">
        <is>
          <t>Services Overhead.Manager</t>
        </is>
      </c>
      <c r="I279" t="inlineStr">
        <is>
          <t>$</t>
        </is>
      </c>
      <c r="J279" s="81" t="n">
        <v>159.75</v>
      </c>
    </row>
    <row r="280">
      <c r="B280">
        <f>Table1[[#This Row],[Cost Center Name]]&amp;" "&amp;Table1[[#This Row],[Job Name]]&amp;" "&amp;"-"&amp;" "&amp;Table1[[#This Row],[Job Code]]</f>
        <v/>
      </c>
      <c r="C280" t="inlineStr">
        <is>
          <t>US</t>
        </is>
      </c>
      <c r="D280" t="inlineStr">
        <is>
          <t>USD</t>
        </is>
      </c>
      <c r="E280" t="inlineStr">
        <is>
          <t xml:space="preserve">Services House </t>
        </is>
      </c>
      <c r="F280" s="81" t="inlineStr">
        <is>
          <t>SV House Allctd - GSP</t>
        </is>
      </c>
      <c r="G280" s="81" t="n">
        <v>100148</v>
      </c>
      <c r="H280" t="inlineStr">
        <is>
          <t>Services Overhead.Manager</t>
        </is>
      </c>
      <c r="I280" t="inlineStr">
        <is>
          <t>$</t>
        </is>
      </c>
      <c r="J280" s="81" t="n">
        <v>159.75</v>
      </c>
    </row>
    <row r="281">
      <c r="B281">
        <f>Table1[[#This Row],[Cost Center Name]]&amp;" "&amp;Table1[[#This Row],[Job Name]]&amp;" "&amp;"-"&amp;" "&amp;Table1[[#This Row],[Job Code]]</f>
        <v/>
      </c>
      <c r="C281" t="inlineStr">
        <is>
          <t>US</t>
        </is>
      </c>
      <c r="D281" t="inlineStr">
        <is>
          <t>USD</t>
        </is>
      </c>
      <c r="E281" t="inlineStr">
        <is>
          <t xml:space="preserve">Services House </t>
        </is>
      </c>
      <c r="F281" s="81" t="inlineStr">
        <is>
          <t>SV House Allctd - Public Sec</t>
        </is>
      </c>
      <c r="G281" s="81" t="n">
        <v>100146</v>
      </c>
      <c r="H281" t="inlineStr">
        <is>
          <t>Services Overhead.Director</t>
        </is>
      </c>
      <c r="I281" t="inlineStr">
        <is>
          <t>$</t>
        </is>
      </c>
      <c r="J281" s="81" t="n">
        <v>227.25</v>
      </c>
    </row>
    <row r="282">
      <c r="B282">
        <f>Table1[[#This Row],[Cost Center Name]]&amp;" "&amp;Table1[[#This Row],[Job Name]]&amp;" "&amp;"-"&amp;" "&amp;Table1[[#This Row],[Job Code]]</f>
        <v/>
      </c>
      <c r="C282" t="inlineStr">
        <is>
          <t>US</t>
        </is>
      </c>
      <c r="D282" t="inlineStr">
        <is>
          <t>USD</t>
        </is>
      </c>
      <c r="E282" t="inlineStr">
        <is>
          <t xml:space="preserve">Services House </t>
        </is>
      </c>
      <c r="F282" s="81" t="inlineStr">
        <is>
          <t>SV House Allctd - Public Sec</t>
        </is>
      </c>
      <c r="G282" s="81" t="n">
        <v>100148</v>
      </c>
      <c r="H282" t="inlineStr">
        <is>
          <t>Services Overhead.Manager</t>
        </is>
      </c>
      <c r="I282" t="inlineStr">
        <is>
          <t>$</t>
        </is>
      </c>
      <c r="J282" s="81" t="n">
        <v>159.75</v>
      </c>
    </row>
    <row r="283">
      <c r="B283">
        <f>Table1[[#This Row],[Cost Center Name]]&amp;" "&amp;Table1[[#This Row],[Job Name]]&amp;" "&amp;"-"&amp;" "&amp;Table1[[#This Row],[Job Code]]</f>
        <v/>
      </c>
      <c r="C283" t="inlineStr">
        <is>
          <t>US</t>
        </is>
      </c>
      <c r="D283" t="inlineStr">
        <is>
          <t>USD</t>
        </is>
      </c>
      <c r="E283" t="inlineStr">
        <is>
          <t xml:space="preserve">Services House </t>
        </is>
      </c>
      <c r="F283" s="81" t="inlineStr">
        <is>
          <t>SV House Allocated</t>
        </is>
      </c>
      <c r="G283" s="81" t="n">
        <v>100146</v>
      </c>
      <c r="H283" t="inlineStr">
        <is>
          <t>Services Overhead.Director</t>
        </is>
      </c>
      <c r="I283" t="inlineStr">
        <is>
          <t>$</t>
        </is>
      </c>
      <c r="J283" s="81" t="n">
        <v>227.25</v>
      </c>
    </row>
    <row r="284">
      <c r="B284">
        <f>Table1[[#This Row],[Cost Center Name]]&amp;" "&amp;Table1[[#This Row],[Job Name]]&amp;" "&amp;"-"&amp;" "&amp;Table1[[#This Row],[Job Code]]</f>
        <v/>
      </c>
      <c r="C284" t="inlineStr">
        <is>
          <t>US</t>
        </is>
      </c>
      <c r="D284" t="inlineStr">
        <is>
          <t>USD</t>
        </is>
      </c>
      <c r="E284" t="inlineStr">
        <is>
          <t xml:space="preserve">Services House </t>
        </is>
      </c>
      <c r="F284" s="81" t="inlineStr">
        <is>
          <t>SV House BD</t>
        </is>
      </c>
      <c r="G284" s="81" t="n">
        <v>100146</v>
      </c>
      <c r="H284" t="inlineStr">
        <is>
          <t>Services Overhead.Director</t>
        </is>
      </c>
      <c r="I284" t="inlineStr">
        <is>
          <t>$</t>
        </is>
      </c>
      <c r="J284" s="81" t="n">
        <v>227.25</v>
      </c>
    </row>
    <row r="285">
      <c r="B285">
        <f>Table1[[#This Row],[Cost Center Name]]&amp;" "&amp;Table1[[#This Row],[Job Name]]&amp;" "&amp;"-"&amp;" "&amp;Table1[[#This Row],[Job Code]]</f>
        <v/>
      </c>
      <c r="C285" t="inlineStr">
        <is>
          <t>US</t>
        </is>
      </c>
      <c r="D285" t="inlineStr">
        <is>
          <t>USD</t>
        </is>
      </c>
      <c r="E285" t="inlineStr">
        <is>
          <t xml:space="preserve">Services House </t>
        </is>
      </c>
      <c r="F285" s="81" t="inlineStr">
        <is>
          <t>SV House BD</t>
        </is>
      </c>
      <c r="G285" s="81" t="n">
        <v>100148</v>
      </c>
      <c r="H285" t="inlineStr">
        <is>
          <t>Services Overhead.Manager</t>
        </is>
      </c>
      <c r="I285" t="inlineStr">
        <is>
          <t>$</t>
        </is>
      </c>
      <c r="J285" s="81" t="n">
        <v>159.75</v>
      </c>
    </row>
    <row r="286">
      <c r="B286">
        <f>Table1[[#This Row],[Cost Center Name]]&amp;" "&amp;Table1[[#This Row],[Job Name]]&amp;" "&amp;"-"&amp;" "&amp;Table1[[#This Row],[Job Code]]</f>
        <v/>
      </c>
      <c r="C286" t="inlineStr">
        <is>
          <t>US</t>
        </is>
      </c>
      <c r="D286" t="inlineStr">
        <is>
          <t>USD</t>
        </is>
      </c>
      <c r="E286" t="inlineStr">
        <is>
          <t xml:space="preserve">Services House </t>
        </is>
      </c>
      <c r="F286" s="81" t="inlineStr">
        <is>
          <t>SV House Business Operations</t>
        </is>
      </c>
      <c r="G286" s="81" t="n">
        <v>100073</v>
      </c>
      <c r="H286" t="inlineStr">
        <is>
          <t>CS Overhead.Management</t>
        </is>
      </c>
      <c r="I286" t="inlineStr">
        <is>
          <t>$</t>
        </is>
      </c>
      <c r="J286" s="81" t="n">
        <v>299.25</v>
      </c>
    </row>
    <row r="287">
      <c r="B287">
        <f>Table1[[#This Row],[Cost Center Name]]&amp;" "&amp;Table1[[#This Row],[Job Name]]&amp;" "&amp;"-"&amp;" "&amp;Table1[[#This Row],[Job Code]]</f>
        <v/>
      </c>
      <c r="C287" t="inlineStr">
        <is>
          <t>US</t>
        </is>
      </c>
      <c r="D287" t="inlineStr">
        <is>
          <t>USD</t>
        </is>
      </c>
      <c r="E287" t="inlineStr">
        <is>
          <t xml:space="preserve">Services House </t>
        </is>
      </c>
      <c r="F287" s="81" t="inlineStr">
        <is>
          <t>SV House Deal Architects</t>
        </is>
      </c>
      <c r="G287" s="81" t="n">
        <v>100106</v>
      </c>
      <c r="H287" t="inlineStr">
        <is>
          <t>Engagement.Architect</t>
        </is>
      </c>
      <c r="I287" t="inlineStr">
        <is>
          <t>$</t>
        </is>
      </c>
      <c r="J287" s="81" t="n">
        <v>197.83</v>
      </c>
    </row>
    <row r="288">
      <c r="B288">
        <f>Table1[[#This Row],[Cost Center Name]]&amp;" "&amp;Table1[[#This Row],[Job Name]]&amp;" "&amp;"-"&amp;" "&amp;Table1[[#This Row],[Job Code]]</f>
        <v/>
      </c>
      <c r="C288" t="inlineStr">
        <is>
          <t>US</t>
        </is>
      </c>
      <c r="D288" t="inlineStr">
        <is>
          <t>USD</t>
        </is>
      </c>
      <c r="E288" t="inlineStr">
        <is>
          <t xml:space="preserve">Services House </t>
        </is>
      </c>
      <c r="F288" s="81" t="inlineStr">
        <is>
          <t>SV House Deal Architects</t>
        </is>
      </c>
      <c r="G288" s="81" t="n">
        <v>100146</v>
      </c>
      <c r="H288" t="inlineStr">
        <is>
          <t>Services Overhead.Director</t>
        </is>
      </c>
      <c r="I288" t="inlineStr">
        <is>
          <t>$</t>
        </is>
      </c>
      <c r="J288" s="81" t="n">
        <v>273.71</v>
      </c>
    </row>
    <row r="289">
      <c r="B289">
        <f>Table1[[#This Row],[Cost Center Name]]&amp;" "&amp;Table1[[#This Row],[Job Name]]&amp;" "&amp;"-"&amp;" "&amp;Table1[[#This Row],[Job Code]]</f>
        <v/>
      </c>
      <c r="C289" t="inlineStr">
        <is>
          <t>US</t>
        </is>
      </c>
      <c r="D289" t="inlineStr">
        <is>
          <t>USD</t>
        </is>
      </c>
      <c r="E289" t="inlineStr">
        <is>
          <t xml:space="preserve">Services House </t>
        </is>
      </c>
      <c r="F289" s="81" t="inlineStr">
        <is>
          <t>SV House Deal Architects</t>
        </is>
      </c>
      <c r="G289" s="81" t="inlineStr">
        <is>
          <t>PS7141</t>
        </is>
      </c>
      <c r="H289" t="inlineStr">
        <is>
          <t>Engagement Architect</t>
        </is>
      </c>
      <c r="I289" t="inlineStr">
        <is>
          <t>$</t>
        </is>
      </c>
      <c r="J289" s="81" t="n">
        <v>197.83</v>
      </c>
    </row>
    <row r="290">
      <c r="B290">
        <f>Table1[[#This Row],[Cost Center Name]]&amp;" "&amp;Table1[[#This Row],[Job Name]]&amp;" "&amp;"-"&amp;" "&amp;Table1[[#This Row],[Job Code]]</f>
        <v/>
      </c>
      <c r="C290" t="inlineStr">
        <is>
          <t>US</t>
        </is>
      </c>
      <c r="D290" t="inlineStr">
        <is>
          <t>USD</t>
        </is>
      </c>
      <c r="E290" t="inlineStr">
        <is>
          <t xml:space="preserve">Services House </t>
        </is>
      </c>
      <c r="F290" s="81" t="inlineStr">
        <is>
          <t>SV House Overhead</t>
        </is>
      </c>
      <c r="G290" s="81" t="n">
        <v>100073</v>
      </c>
      <c r="H290" t="inlineStr">
        <is>
          <t>CS Overhead.Management</t>
        </is>
      </c>
      <c r="I290" t="inlineStr">
        <is>
          <t>$</t>
        </is>
      </c>
      <c r="J290" s="81" t="n">
        <v>299.25</v>
      </c>
    </row>
    <row r="291">
      <c r="B291">
        <f>Table1[[#This Row],[Cost Center Name]]&amp;" "&amp;Table1[[#This Row],[Job Name]]&amp;" "&amp;"-"&amp;" "&amp;Table1[[#This Row],[Job Code]]</f>
        <v/>
      </c>
      <c r="C291" t="inlineStr">
        <is>
          <t>US</t>
        </is>
      </c>
      <c r="D291" t="inlineStr">
        <is>
          <t>USD</t>
        </is>
      </c>
      <c r="E291" t="inlineStr">
        <is>
          <t xml:space="preserve">Services House </t>
        </is>
      </c>
      <c r="F291" s="81" t="inlineStr">
        <is>
          <t>SV House Overhead</t>
        </is>
      </c>
      <c r="G291" s="81" t="n">
        <v>100146</v>
      </c>
      <c r="H291" t="inlineStr">
        <is>
          <t>Services Overhead.Director</t>
        </is>
      </c>
      <c r="I291" t="inlineStr">
        <is>
          <t>$</t>
        </is>
      </c>
      <c r="J291" s="81" t="n">
        <v>227.25</v>
      </c>
    </row>
    <row r="292">
      <c r="B292">
        <f>Table1[[#This Row],[Cost Center Name]]&amp;" "&amp;Table1[[#This Row],[Job Name]]&amp;" "&amp;"-"&amp;" "&amp;Table1[[#This Row],[Job Code]]</f>
        <v/>
      </c>
      <c r="C292" t="inlineStr">
        <is>
          <t>US</t>
        </is>
      </c>
      <c r="D292" t="inlineStr">
        <is>
          <t>USD</t>
        </is>
      </c>
      <c r="E292" t="inlineStr">
        <is>
          <t xml:space="preserve">Services House </t>
        </is>
      </c>
      <c r="F292" s="81" t="inlineStr">
        <is>
          <t>SV House Overhead</t>
        </is>
      </c>
      <c r="G292" s="81" t="n">
        <v>100148</v>
      </c>
      <c r="H292" t="inlineStr">
        <is>
          <t>Services Overhead.Manager</t>
        </is>
      </c>
      <c r="I292" t="inlineStr">
        <is>
          <t>$</t>
        </is>
      </c>
      <c r="J292" s="81" t="n">
        <v>159.75</v>
      </c>
    </row>
    <row r="293">
      <c r="B293">
        <f>Table1[[#This Row],[Cost Center Name]]&amp;" "&amp;Table1[[#This Row],[Job Name]]&amp;" "&amp;"-"&amp;" "&amp;Table1[[#This Row],[Job Code]]</f>
        <v/>
      </c>
      <c r="C293" t="inlineStr">
        <is>
          <t>US</t>
        </is>
      </c>
      <c r="D293" t="inlineStr">
        <is>
          <t>USD</t>
        </is>
      </c>
      <c r="E293" t="inlineStr">
        <is>
          <t xml:space="preserve">Services House </t>
        </is>
      </c>
      <c r="F293" s="81" t="inlineStr">
        <is>
          <t>SV House Overhead</t>
        </is>
      </c>
      <c r="G293" s="81" t="n">
        <v>100149</v>
      </c>
      <c r="H293" t="inlineStr">
        <is>
          <t>Services Overhead.Staff</t>
        </is>
      </c>
      <c r="I293" t="inlineStr">
        <is>
          <t>$</t>
        </is>
      </c>
      <c r="J293" s="81" t="n">
        <v>99</v>
      </c>
    </row>
    <row r="294">
      <c r="B294">
        <f>Table1[[#This Row],[Cost Center Name]]&amp;" "&amp;Table1[[#This Row],[Job Name]]&amp;" "&amp;"-"&amp;" "&amp;Table1[[#This Row],[Job Code]]</f>
        <v/>
      </c>
      <c r="C294" t="inlineStr">
        <is>
          <t>US</t>
        </is>
      </c>
      <c r="D294" t="inlineStr">
        <is>
          <t>USD</t>
        </is>
      </c>
      <c r="E294" t="inlineStr">
        <is>
          <t xml:space="preserve">Services House </t>
        </is>
      </c>
      <c r="F294" s="81" t="inlineStr">
        <is>
          <t>SV House Product Dev</t>
        </is>
      </c>
      <c r="G294" s="81" t="n">
        <v>100015</v>
      </c>
      <c r="H294" t="inlineStr">
        <is>
          <t>Agile Delivery.QA Analyst</t>
        </is>
      </c>
      <c r="I294" t="inlineStr">
        <is>
          <t>$</t>
        </is>
      </c>
      <c r="J294" s="81" t="n">
        <v>128.25</v>
      </c>
    </row>
    <row r="295">
      <c r="B295">
        <f>Table1[[#This Row],[Cost Center Name]]&amp;" "&amp;Table1[[#This Row],[Job Name]]&amp;" "&amp;"-"&amp;" "&amp;Table1[[#This Row],[Job Code]]</f>
        <v/>
      </c>
      <c r="C295" t="inlineStr">
        <is>
          <t>US</t>
        </is>
      </c>
      <c r="D295" t="inlineStr">
        <is>
          <t>USD</t>
        </is>
      </c>
      <c r="E295" t="inlineStr">
        <is>
          <t xml:space="preserve">Services House </t>
        </is>
      </c>
      <c r="F295" s="81" t="inlineStr">
        <is>
          <t>SV House Product Dev</t>
        </is>
      </c>
      <c r="G295" s="81" t="n">
        <v>100018</v>
      </c>
      <c r="H295" t="inlineStr">
        <is>
          <t>Agile Delivery.Software Engineer</t>
        </is>
      </c>
      <c r="I295" t="inlineStr">
        <is>
          <t>$</t>
        </is>
      </c>
      <c r="J295" s="81" t="n">
        <v>155.25</v>
      </c>
    </row>
    <row r="296">
      <c r="B296">
        <f>Table1[[#This Row],[Cost Center Name]]&amp;" "&amp;Table1[[#This Row],[Job Name]]&amp;" "&amp;"-"&amp;" "&amp;Table1[[#This Row],[Job Code]]</f>
        <v/>
      </c>
      <c r="C296" t="inlineStr">
        <is>
          <t>US</t>
        </is>
      </c>
      <c r="D296" t="inlineStr">
        <is>
          <t>USD</t>
        </is>
      </c>
      <c r="E296" t="inlineStr">
        <is>
          <t xml:space="preserve">Services House </t>
        </is>
      </c>
      <c r="F296" s="81" t="inlineStr">
        <is>
          <t>SV House Product Dev</t>
        </is>
      </c>
      <c r="G296" s="81" t="n">
        <v>100062</v>
      </c>
      <c r="H296" t="inlineStr">
        <is>
          <t>Consulting.Delivery Engineer</t>
        </is>
      </c>
      <c r="I296" t="inlineStr">
        <is>
          <t>$</t>
        </is>
      </c>
      <c r="J296" s="81" t="n">
        <v>157.5</v>
      </c>
    </row>
    <row r="297">
      <c r="B297">
        <f>Table1[[#This Row],[Cost Center Name]]&amp;" "&amp;Table1[[#This Row],[Job Name]]&amp;" "&amp;"-"&amp;" "&amp;Table1[[#This Row],[Job Code]]</f>
        <v/>
      </c>
      <c r="C297" t="inlineStr">
        <is>
          <t>US</t>
        </is>
      </c>
      <c r="D297" t="inlineStr">
        <is>
          <t>USD</t>
        </is>
      </c>
      <c r="E297" t="inlineStr">
        <is>
          <t xml:space="preserve">Services House </t>
        </is>
      </c>
      <c r="F297" s="81" t="inlineStr">
        <is>
          <t>SV House R&amp;D</t>
        </is>
      </c>
      <c r="G297" s="81" t="n">
        <v>100015</v>
      </c>
      <c r="H297" t="inlineStr">
        <is>
          <t>Agile Delivery.QA Analyst</t>
        </is>
      </c>
      <c r="I297" t="inlineStr">
        <is>
          <t>$</t>
        </is>
      </c>
      <c r="J297" s="81" t="n">
        <v>128.25</v>
      </c>
    </row>
    <row r="298">
      <c r="B298">
        <f>Table1[[#This Row],[Cost Center Name]]&amp;" "&amp;Table1[[#This Row],[Job Name]]&amp;" "&amp;"-"&amp;" "&amp;Table1[[#This Row],[Job Code]]</f>
        <v/>
      </c>
      <c r="C298" t="inlineStr">
        <is>
          <t>US</t>
        </is>
      </c>
      <c r="D298" t="inlineStr">
        <is>
          <t>USD</t>
        </is>
      </c>
      <c r="E298" t="inlineStr">
        <is>
          <t xml:space="preserve">Services House </t>
        </is>
      </c>
      <c r="F298" s="81" t="inlineStr">
        <is>
          <t>SV House R&amp;D</t>
        </is>
      </c>
      <c r="G298" s="81" t="n">
        <v>100016</v>
      </c>
      <c r="H298" t="inlineStr">
        <is>
          <t>Agile Delivery.QA Engineer</t>
        </is>
      </c>
      <c r="I298" t="inlineStr">
        <is>
          <t>$</t>
        </is>
      </c>
      <c r="J298" s="81" t="n">
        <v>126</v>
      </c>
    </row>
    <row r="299">
      <c r="B299">
        <f>Table1[[#This Row],[Cost Center Name]]&amp;" "&amp;Table1[[#This Row],[Job Name]]&amp;" "&amp;"-"&amp;" "&amp;Table1[[#This Row],[Job Code]]</f>
        <v/>
      </c>
      <c r="C299" t="inlineStr">
        <is>
          <t>US</t>
        </is>
      </c>
      <c r="D299" t="inlineStr">
        <is>
          <t>USD</t>
        </is>
      </c>
      <c r="E299" t="inlineStr">
        <is>
          <t xml:space="preserve">Services House </t>
        </is>
      </c>
      <c r="F299" s="81" t="inlineStr">
        <is>
          <t>SV House R&amp;D</t>
        </is>
      </c>
      <c r="G299" s="81" t="n">
        <v>100018</v>
      </c>
      <c r="H299" t="inlineStr">
        <is>
          <t>Agile Delivery.Software Engineer</t>
        </is>
      </c>
      <c r="I299" t="inlineStr">
        <is>
          <t>$</t>
        </is>
      </c>
      <c r="J299" s="81" t="n">
        <v>155.25</v>
      </c>
    </row>
    <row r="300">
      <c r="B300">
        <f>Table1[[#This Row],[Cost Center Name]]&amp;" "&amp;Table1[[#This Row],[Job Name]]&amp;" "&amp;"-"&amp;" "&amp;Table1[[#This Row],[Job Code]]</f>
        <v/>
      </c>
      <c r="C300" t="inlineStr">
        <is>
          <t>US</t>
        </is>
      </c>
      <c r="D300" t="inlineStr">
        <is>
          <t>USD</t>
        </is>
      </c>
      <c r="E300" t="inlineStr">
        <is>
          <t xml:space="preserve">Services House </t>
        </is>
      </c>
      <c r="F300" s="81" t="inlineStr">
        <is>
          <t>SV House R&amp;D</t>
        </is>
      </c>
      <c r="G300" s="81" t="n">
        <v>100020</v>
      </c>
      <c r="H300" t="inlineStr">
        <is>
          <t>Agile Delivery.UX Consultant</t>
        </is>
      </c>
      <c r="I300" t="inlineStr">
        <is>
          <t>$</t>
        </is>
      </c>
      <c r="J300" s="81" t="n">
        <v>182.25</v>
      </c>
    </row>
    <row r="301">
      <c r="B301">
        <f>Table1[[#This Row],[Cost Center Name]]&amp;" "&amp;Table1[[#This Row],[Job Name]]&amp;" "&amp;"-"&amp;" "&amp;Table1[[#This Row],[Job Code]]</f>
        <v/>
      </c>
      <c r="C301" t="inlineStr">
        <is>
          <t>US</t>
        </is>
      </c>
      <c r="D301" t="inlineStr">
        <is>
          <t>USD</t>
        </is>
      </c>
      <c r="E301" t="inlineStr">
        <is>
          <t xml:space="preserve">Services House </t>
        </is>
      </c>
      <c r="F301" s="81" t="inlineStr">
        <is>
          <t>SV House R&amp;D</t>
        </is>
      </c>
      <c r="G301" s="81" t="n">
        <v>100030</v>
      </c>
      <c r="H301" t="inlineStr">
        <is>
          <t>BAA.Analyst</t>
        </is>
      </c>
      <c r="I301" t="inlineStr">
        <is>
          <t>$</t>
        </is>
      </c>
      <c r="J301" s="81" t="n">
        <v>112.5</v>
      </c>
    </row>
    <row r="302">
      <c r="B302">
        <f>Table1[[#This Row],[Cost Center Name]]&amp;" "&amp;Table1[[#This Row],[Job Name]]&amp;" "&amp;"-"&amp;" "&amp;Table1[[#This Row],[Job Code]]</f>
        <v/>
      </c>
      <c r="C302" t="inlineStr">
        <is>
          <t>US</t>
        </is>
      </c>
      <c r="D302" t="inlineStr">
        <is>
          <t>USD</t>
        </is>
      </c>
      <c r="E302" t="inlineStr">
        <is>
          <t xml:space="preserve">Services House </t>
        </is>
      </c>
      <c r="F302" s="81" t="inlineStr">
        <is>
          <t>SV House R&amp;D</t>
        </is>
      </c>
      <c r="G302" s="81" t="n">
        <v>100031</v>
      </c>
      <c r="H302" t="inlineStr">
        <is>
          <t>BAA.Consultant</t>
        </is>
      </c>
      <c r="I302" t="inlineStr">
        <is>
          <t>$</t>
        </is>
      </c>
      <c r="J302" s="81" t="n">
        <v>150.75</v>
      </c>
    </row>
    <row r="303">
      <c r="B303">
        <f>Table1[[#This Row],[Cost Center Name]]&amp;" "&amp;Table1[[#This Row],[Job Name]]&amp;" "&amp;"-"&amp;" "&amp;Table1[[#This Row],[Job Code]]</f>
        <v/>
      </c>
      <c r="C303" t="inlineStr">
        <is>
          <t>US</t>
        </is>
      </c>
      <c r="D303" t="inlineStr">
        <is>
          <t>USD</t>
        </is>
      </c>
      <c r="E303" t="inlineStr">
        <is>
          <t xml:space="preserve">Services House </t>
        </is>
      </c>
      <c r="F303" s="81" t="inlineStr">
        <is>
          <t>SV House R&amp;D</t>
        </is>
      </c>
      <c r="G303" s="81" t="n">
        <v>100032</v>
      </c>
      <c r="H303" t="inlineStr">
        <is>
          <t>BAA.Data Scientist</t>
        </is>
      </c>
      <c r="I303" t="inlineStr">
        <is>
          <t>$</t>
        </is>
      </c>
      <c r="J303" s="81" t="n">
        <v>144</v>
      </c>
    </row>
    <row r="304">
      <c r="B304">
        <f>Table1[[#This Row],[Cost Center Name]]&amp;" "&amp;Table1[[#This Row],[Job Name]]&amp;" "&amp;"-"&amp;" "&amp;Table1[[#This Row],[Job Code]]</f>
        <v/>
      </c>
      <c r="C304" t="inlineStr">
        <is>
          <t>US</t>
        </is>
      </c>
      <c r="D304" t="inlineStr">
        <is>
          <t>USD</t>
        </is>
      </c>
      <c r="E304" t="inlineStr">
        <is>
          <t xml:space="preserve">Services House </t>
        </is>
      </c>
      <c r="F304" s="81" t="inlineStr">
        <is>
          <t>SV House R&amp;D</t>
        </is>
      </c>
      <c r="G304" s="81" t="n">
        <v>100034</v>
      </c>
      <c r="H304" t="inlineStr">
        <is>
          <t>BAA.Engineer</t>
        </is>
      </c>
      <c r="I304" t="inlineStr">
        <is>
          <t>$</t>
        </is>
      </c>
      <c r="J304" s="81" t="n">
        <v>168.75</v>
      </c>
    </row>
    <row r="305">
      <c r="B305">
        <f>Table1[[#This Row],[Cost Center Name]]&amp;" "&amp;Table1[[#This Row],[Job Name]]&amp;" "&amp;"-"&amp;" "&amp;Table1[[#This Row],[Job Code]]</f>
        <v/>
      </c>
      <c r="C305" t="inlineStr">
        <is>
          <t>US</t>
        </is>
      </c>
      <c r="D305" t="inlineStr">
        <is>
          <t>USD</t>
        </is>
      </c>
      <c r="E305" t="inlineStr">
        <is>
          <t xml:space="preserve">Services House </t>
        </is>
      </c>
      <c r="F305" s="81" t="inlineStr">
        <is>
          <t>SV House R&amp;D</t>
        </is>
      </c>
      <c r="G305" s="81" t="n">
        <v>100069</v>
      </c>
      <c r="H305" t="inlineStr">
        <is>
          <t>Consulting.Software Engineer</t>
        </is>
      </c>
      <c r="I305" t="inlineStr">
        <is>
          <t>$</t>
        </is>
      </c>
      <c r="J305" s="81" t="n">
        <v>153</v>
      </c>
    </row>
    <row r="306">
      <c r="B306">
        <f>Table1[[#This Row],[Cost Center Name]]&amp;" "&amp;Table1[[#This Row],[Job Name]]&amp;" "&amp;"-"&amp;" "&amp;Table1[[#This Row],[Job Code]]</f>
        <v/>
      </c>
      <c r="C306" t="inlineStr">
        <is>
          <t>US</t>
        </is>
      </c>
      <c r="D306" t="inlineStr">
        <is>
          <t>USD</t>
        </is>
      </c>
      <c r="E306" t="inlineStr">
        <is>
          <t xml:space="preserve">Services House </t>
        </is>
      </c>
      <c r="F306" s="81" t="inlineStr">
        <is>
          <t>SV House R&amp;D</t>
        </is>
      </c>
      <c r="G306" s="81" t="n">
        <v>100148</v>
      </c>
      <c r="H306" t="inlineStr">
        <is>
          <t>Services Overhead.Manager</t>
        </is>
      </c>
      <c r="I306" t="inlineStr">
        <is>
          <t>$</t>
        </is>
      </c>
      <c r="J306" s="81" t="n">
        <v>159.75</v>
      </c>
    </row>
    <row r="307">
      <c r="B307">
        <f>Table1[[#This Row],[Cost Center Name]]&amp;" "&amp;Table1[[#This Row],[Job Name]]&amp;" "&amp;"-"&amp;" "&amp;Table1[[#This Row],[Job Code]]</f>
        <v/>
      </c>
      <c r="C307" t="inlineStr">
        <is>
          <t>US</t>
        </is>
      </c>
      <c r="D307" t="inlineStr">
        <is>
          <t>USD</t>
        </is>
      </c>
      <c r="E307" t="inlineStr">
        <is>
          <t xml:space="preserve">Services House </t>
        </is>
      </c>
      <c r="F307" s="81" t="inlineStr">
        <is>
          <t>SV House R&amp;D</t>
        </is>
      </c>
      <c r="G307" s="81" t="n">
        <v>100154</v>
      </c>
      <c r="H307" t="inlineStr">
        <is>
          <t>SDN.Architect</t>
        </is>
      </c>
      <c r="I307" t="inlineStr">
        <is>
          <t>$</t>
        </is>
      </c>
      <c r="J307" s="81" t="n">
        <v>182.25</v>
      </c>
    </row>
    <row r="308">
      <c r="B308">
        <f>Table1[[#This Row],[Cost Center Name]]&amp;" "&amp;Table1[[#This Row],[Job Name]]&amp;" "&amp;"-"&amp;" "&amp;Table1[[#This Row],[Job Code]]</f>
        <v/>
      </c>
      <c r="C308" t="inlineStr">
        <is>
          <t>US</t>
        </is>
      </c>
      <c r="D308" t="inlineStr">
        <is>
          <t>USD</t>
        </is>
      </c>
      <c r="E308" t="inlineStr">
        <is>
          <t xml:space="preserve">Services House </t>
        </is>
      </c>
      <c r="F308" s="81" t="inlineStr">
        <is>
          <t>SV House Svcs SI&amp;O</t>
        </is>
      </c>
      <c r="G308" s="81" t="n">
        <v>100146</v>
      </c>
      <c r="H308" t="inlineStr">
        <is>
          <t>Services Overhead.Director</t>
        </is>
      </c>
      <c r="I308" t="inlineStr">
        <is>
          <t>$</t>
        </is>
      </c>
      <c r="J308" s="81" t="n">
        <v>227.25</v>
      </c>
    </row>
    <row r="309">
      <c r="B309">
        <f>Table1[[#This Row],[Cost Center Name]]&amp;" "&amp;Table1[[#This Row],[Job Name]]&amp;" "&amp;"-"&amp;" "&amp;Table1[[#This Row],[Job Code]]</f>
        <v/>
      </c>
      <c r="C309" t="inlineStr">
        <is>
          <t>US</t>
        </is>
      </c>
      <c r="D309" t="inlineStr">
        <is>
          <t>USD</t>
        </is>
      </c>
      <c r="E309" t="inlineStr">
        <is>
          <t xml:space="preserve">Services House </t>
        </is>
      </c>
      <c r="F309" s="81" t="inlineStr">
        <is>
          <t>SV House Svcs SI&amp;O</t>
        </is>
      </c>
      <c r="G309" s="81" t="n">
        <v>100148</v>
      </c>
      <c r="H309" t="inlineStr">
        <is>
          <t>Services Overhead.Manager</t>
        </is>
      </c>
      <c r="I309" t="inlineStr">
        <is>
          <t>$</t>
        </is>
      </c>
      <c r="J309" s="81" t="n">
        <v>159.75</v>
      </c>
    </row>
    <row r="310">
      <c r="B310">
        <f>Table1[[#This Row],[Cost Center Name]]&amp;" "&amp;Table1[[#This Row],[Job Name]]&amp;" "&amp;"-"&amp;" "&amp;Table1[[#This Row],[Job Code]]</f>
        <v/>
      </c>
      <c r="C310" t="inlineStr">
        <is>
          <t>US</t>
        </is>
      </c>
      <c r="D310" t="inlineStr">
        <is>
          <t>USD</t>
        </is>
      </c>
      <c r="E310" t="inlineStr">
        <is>
          <t xml:space="preserve">Services House </t>
        </is>
      </c>
      <c r="F310" s="81" t="inlineStr">
        <is>
          <t>SV House Svcs SI&amp;O</t>
        </is>
      </c>
      <c r="G310" s="81" t="n">
        <v>100149</v>
      </c>
      <c r="H310" t="inlineStr">
        <is>
          <t>Services Overhead.Staff</t>
        </is>
      </c>
      <c r="I310" t="inlineStr">
        <is>
          <t>$</t>
        </is>
      </c>
      <c r="J310" s="81" t="n">
        <v>99</v>
      </c>
    </row>
    <row r="311">
      <c r="B311">
        <f>Table1[[#This Row],[Cost Center Name]]&amp;" "&amp;Table1[[#This Row],[Job Name]]&amp;" "&amp;"-"&amp;" "&amp;Table1[[#This Row],[Job Code]]</f>
        <v/>
      </c>
      <c r="C311" t="inlineStr">
        <is>
          <t>US</t>
        </is>
      </c>
      <c r="D311" t="inlineStr">
        <is>
          <t>USD</t>
        </is>
      </c>
      <c r="E311" t="inlineStr">
        <is>
          <t xml:space="preserve">Services House </t>
        </is>
      </c>
      <c r="F311" s="81" t="inlineStr">
        <is>
          <t>SV House Svcs SI&amp;O</t>
        </is>
      </c>
      <c r="G311" s="81" t="n">
        <v>100211</v>
      </c>
      <c r="H311" t="inlineStr">
        <is>
          <t>Services Overhead.Data Analyst</t>
        </is>
      </c>
      <c r="I311" t="inlineStr">
        <is>
          <t>$</t>
        </is>
      </c>
      <c r="J311" s="81" t="n">
        <v>81</v>
      </c>
    </row>
    <row r="312">
      <c r="B312">
        <f>Table1[[#This Row],[Cost Center Name]]&amp;" "&amp;Table1[[#This Row],[Job Name]]&amp;" "&amp;"-"&amp;" "&amp;Table1[[#This Row],[Job Code]]</f>
        <v/>
      </c>
      <c r="C312" t="inlineStr">
        <is>
          <t>US</t>
        </is>
      </c>
      <c r="D312" t="inlineStr">
        <is>
          <t>USD</t>
        </is>
      </c>
      <c r="E312" t="inlineStr">
        <is>
          <t xml:space="preserve">Strategic Staffing </t>
        </is>
      </c>
      <c r="F312" s="81" t="inlineStr">
        <is>
          <t>SR AS Billable</t>
        </is>
      </c>
      <c r="G312" s="81" t="n">
        <v>100018</v>
      </c>
      <c r="H312" t="inlineStr">
        <is>
          <t>Agile Delivery.Software Engineer</t>
        </is>
      </c>
      <c r="I312" t="inlineStr">
        <is>
          <t>$</t>
        </is>
      </c>
      <c r="J312" s="81" t="n">
        <v>105.57</v>
      </c>
    </row>
    <row r="313">
      <c r="B313">
        <f>Table1[[#This Row],[Cost Center Name]]&amp;" "&amp;Table1[[#This Row],[Job Name]]&amp;" "&amp;"-"&amp;" "&amp;Table1[[#This Row],[Job Code]]</f>
        <v/>
      </c>
      <c r="C313" t="inlineStr">
        <is>
          <t>US</t>
        </is>
      </c>
      <c r="D313" t="inlineStr">
        <is>
          <t>USD</t>
        </is>
      </c>
      <c r="E313" t="inlineStr">
        <is>
          <t xml:space="preserve">Strategic Staffing </t>
        </is>
      </c>
      <c r="F313" s="81" t="inlineStr">
        <is>
          <t>SR AS Billable</t>
        </is>
      </c>
      <c r="G313" s="81" t="n">
        <v>100061</v>
      </c>
      <c r="H313" t="inlineStr">
        <is>
          <t>Consulting.Agile Consultant</t>
        </is>
      </c>
      <c r="I313" t="inlineStr">
        <is>
          <t>$</t>
        </is>
      </c>
      <c r="J313" s="81" t="n">
        <v>148.41</v>
      </c>
    </row>
    <row r="314">
      <c r="B314">
        <f>Table1[[#This Row],[Cost Center Name]]&amp;" "&amp;Table1[[#This Row],[Job Name]]&amp;" "&amp;"-"&amp;" "&amp;Table1[[#This Row],[Job Code]]</f>
        <v/>
      </c>
      <c r="C314" t="inlineStr">
        <is>
          <t>US</t>
        </is>
      </c>
      <c r="D314" t="inlineStr">
        <is>
          <t>USD</t>
        </is>
      </c>
      <c r="E314" t="inlineStr">
        <is>
          <t xml:space="preserve">Strategic Staffing </t>
        </is>
      </c>
      <c r="F314" s="81" t="inlineStr">
        <is>
          <t>SR IS Engineering</t>
        </is>
      </c>
      <c r="G314" s="81" t="n">
        <v>100081</v>
      </c>
      <c r="H314" t="inlineStr">
        <is>
          <t>Data Center.Engineer</t>
        </is>
      </c>
      <c r="I314" t="inlineStr">
        <is>
          <t>$</t>
        </is>
      </c>
      <c r="J314" s="81" t="n">
        <v>92.40000000000001</v>
      </c>
    </row>
    <row r="315">
      <c r="B315">
        <f>Table1[[#This Row],[Cost Center Name]]&amp;" "&amp;Table1[[#This Row],[Job Name]]&amp;" "&amp;"-"&amp;" "&amp;Table1[[#This Row],[Job Code]]</f>
        <v/>
      </c>
      <c r="C315" t="inlineStr">
        <is>
          <t>US</t>
        </is>
      </c>
      <c r="D315" t="inlineStr">
        <is>
          <t>USD</t>
        </is>
      </c>
      <c r="E315" t="inlineStr">
        <is>
          <t xml:space="preserve">Strategic Staffing </t>
        </is>
      </c>
      <c r="F315" s="81" t="inlineStr">
        <is>
          <t>SR IS Engineering</t>
        </is>
      </c>
      <c r="G315" s="81" t="n">
        <v>100082</v>
      </c>
      <c r="H315" t="inlineStr">
        <is>
          <t>Data Center.Sr Engineer</t>
        </is>
      </c>
      <c r="I315" t="inlineStr">
        <is>
          <t>$</t>
        </is>
      </c>
      <c r="J315" s="81" t="n">
        <v>127.68</v>
      </c>
    </row>
    <row r="316">
      <c r="B316">
        <f>Table1[[#This Row],[Cost Center Name]]&amp;" "&amp;Table1[[#This Row],[Job Name]]&amp;" "&amp;"-"&amp;" "&amp;Table1[[#This Row],[Job Code]]</f>
        <v/>
      </c>
      <c r="C316" t="inlineStr">
        <is>
          <t>US</t>
        </is>
      </c>
      <c r="D316" t="inlineStr">
        <is>
          <t>USD</t>
        </is>
      </c>
      <c r="E316" t="inlineStr">
        <is>
          <t xml:space="preserve">Strategic Staffing </t>
        </is>
      </c>
      <c r="F316" s="81" t="inlineStr">
        <is>
          <t>SR IS Engineering</t>
        </is>
      </c>
      <c r="G316" s="81" t="n">
        <v>100139</v>
      </c>
      <c r="H316" t="inlineStr">
        <is>
          <t>Project Management.PM</t>
        </is>
      </c>
      <c r="I316" t="inlineStr">
        <is>
          <t>$</t>
        </is>
      </c>
      <c r="J316" s="81" t="n">
        <v>77.28</v>
      </c>
    </row>
    <row r="317">
      <c r="B317">
        <f>Table1[[#This Row],[Cost Center Name]]&amp;" "&amp;Table1[[#This Row],[Job Name]]&amp;" "&amp;"-"&amp;" "&amp;Table1[[#This Row],[Job Code]]</f>
        <v/>
      </c>
      <c r="C317" t="inlineStr">
        <is>
          <t>US</t>
        </is>
      </c>
      <c r="D317" t="inlineStr">
        <is>
          <t>USD</t>
        </is>
      </c>
      <c r="E317" t="inlineStr">
        <is>
          <t xml:space="preserve">Strategic Staffing </t>
        </is>
      </c>
      <c r="F317" s="81" t="inlineStr">
        <is>
          <t>SR IS Engineering</t>
        </is>
      </c>
      <c r="G317" s="81" t="n">
        <v>100151</v>
      </c>
      <c r="H317" t="inlineStr">
        <is>
          <t>R&amp;S.Architect</t>
        </is>
      </c>
      <c r="I317" t="inlineStr">
        <is>
          <t>$</t>
        </is>
      </c>
      <c r="J317" s="81" t="n">
        <v>146.16</v>
      </c>
    </row>
    <row r="318">
      <c r="B318">
        <f>Table1[[#This Row],[Cost Center Name]]&amp;" "&amp;Table1[[#This Row],[Job Name]]&amp;" "&amp;"-"&amp;" "&amp;Table1[[#This Row],[Job Code]]</f>
        <v/>
      </c>
      <c r="C318" t="inlineStr">
        <is>
          <t>US</t>
        </is>
      </c>
      <c r="D318" t="inlineStr">
        <is>
          <t>USD</t>
        </is>
      </c>
      <c r="E318" t="inlineStr">
        <is>
          <t xml:space="preserve">Strategic Staffing </t>
        </is>
      </c>
      <c r="F318" s="81" t="inlineStr">
        <is>
          <t>SR IS Engineering</t>
        </is>
      </c>
      <c r="G318" s="81" t="n">
        <v>100152</v>
      </c>
      <c r="H318" t="inlineStr">
        <is>
          <t>R&amp;S.Engineer</t>
        </is>
      </c>
      <c r="I318" t="inlineStr">
        <is>
          <t>$</t>
        </is>
      </c>
      <c r="J318" s="81" t="n">
        <v>97.44</v>
      </c>
    </row>
    <row r="319">
      <c r="B319">
        <f>Table1[[#This Row],[Cost Center Name]]&amp;" "&amp;Table1[[#This Row],[Job Name]]&amp;" "&amp;"-"&amp;" "&amp;Table1[[#This Row],[Job Code]]</f>
        <v/>
      </c>
      <c r="C319" t="inlineStr">
        <is>
          <t>US</t>
        </is>
      </c>
      <c r="D319" t="inlineStr">
        <is>
          <t>USD</t>
        </is>
      </c>
      <c r="E319" t="inlineStr">
        <is>
          <t xml:space="preserve">Strategic Staffing </t>
        </is>
      </c>
      <c r="F319" s="81" t="inlineStr">
        <is>
          <t>SR IS Engineering</t>
        </is>
      </c>
      <c r="G319" s="81" t="n">
        <v>100153</v>
      </c>
      <c r="H319" t="inlineStr">
        <is>
          <t>R&amp;S.Sr Engineer</t>
        </is>
      </c>
      <c r="I319" t="inlineStr">
        <is>
          <t>$</t>
        </is>
      </c>
      <c r="J319" s="81" t="n">
        <v>134.4</v>
      </c>
    </row>
    <row r="320">
      <c r="B320">
        <f>Table1[[#This Row],[Cost Center Name]]&amp;" "&amp;Table1[[#This Row],[Job Name]]&amp;" "&amp;"-"&amp;" "&amp;Table1[[#This Row],[Job Code]]</f>
        <v/>
      </c>
      <c r="C320" t="inlineStr">
        <is>
          <t>US</t>
        </is>
      </c>
      <c r="D320" t="inlineStr">
        <is>
          <t>USD</t>
        </is>
      </c>
      <c r="E320" t="inlineStr">
        <is>
          <t xml:space="preserve">Strategic Staffing </t>
        </is>
      </c>
      <c r="F320" s="81" t="inlineStr">
        <is>
          <t>SR IS Engineering</t>
        </is>
      </c>
      <c r="G320" s="81" t="n">
        <v>100168</v>
      </c>
      <c r="H320" t="inlineStr">
        <is>
          <t>Support.Engineer</t>
        </is>
      </c>
      <c r="I320" t="inlineStr">
        <is>
          <t>$</t>
        </is>
      </c>
      <c r="J320" s="81" t="n">
        <v>70.56</v>
      </c>
    </row>
    <row r="321">
      <c r="B321">
        <f>Table1[[#This Row],[Cost Center Name]]&amp;" "&amp;Table1[[#This Row],[Job Name]]&amp;" "&amp;"-"&amp;" "&amp;Table1[[#This Row],[Job Code]]</f>
        <v/>
      </c>
      <c r="C321" t="inlineStr">
        <is>
          <t>US</t>
        </is>
      </c>
      <c r="D321" t="inlineStr">
        <is>
          <t>USD</t>
        </is>
      </c>
      <c r="E321" t="inlineStr">
        <is>
          <t xml:space="preserve">Strategic Staffing </t>
        </is>
      </c>
      <c r="F321" s="81" t="inlineStr">
        <is>
          <t>SR IS Engineering</t>
        </is>
      </c>
      <c r="G321" s="81" t="n">
        <v>100177</v>
      </c>
      <c r="H321" t="inlineStr">
        <is>
          <t>Voice.Engineer</t>
        </is>
      </c>
      <c r="I321" t="inlineStr">
        <is>
          <t>$</t>
        </is>
      </c>
      <c r="J321" s="81" t="n">
        <v>105.84</v>
      </c>
    </row>
    <row r="322">
      <c r="B322">
        <f>Table1[[#This Row],[Cost Center Name]]&amp;" "&amp;Table1[[#This Row],[Job Name]]&amp;" "&amp;"-"&amp;" "&amp;Table1[[#This Row],[Job Code]]</f>
        <v/>
      </c>
      <c r="C322" t="inlineStr">
        <is>
          <t>US</t>
        </is>
      </c>
      <c r="D322" t="inlineStr">
        <is>
          <t>USD</t>
        </is>
      </c>
      <c r="E322" t="inlineStr">
        <is>
          <t xml:space="preserve">Strategic Staffing </t>
        </is>
      </c>
      <c r="F322" s="81" t="inlineStr">
        <is>
          <t>SR IS Engineering</t>
        </is>
      </c>
      <c r="G322" s="81" t="n">
        <v>100179</v>
      </c>
      <c r="H322" t="inlineStr">
        <is>
          <t>Voice.Sr Engineer UCCE</t>
        </is>
      </c>
      <c r="I322" t="inlineStr">
        <is>
          <t>$</t>
        </is>
      </c>
      <c r="J322" s="81" t="n">
        <v>149.52</v>
      </c>
    </row>
    <row r="323">
      <c r="B323">
        <f>Table1[[#This Row],[Cost Center Name]]&amp;" "&amp;Table1[[#This Row],[Job Name]]&amp;" "&amp;"-"&amp;" "&amp;Table1[[#This Row],[Job Code]]</f>
        <v/>
      </c>
      <c r="C323" t="inlineStr">
        <is>
          <t>US</t>
        </is>
      </c>
      <c r="D323" t="inlineStr">
        <is>
          <t>USD</t>
        </is>
      </c>
      <c r="E323" t="inlineStr">
        <is>
          <t xml:space="preserve">Strategic Staffing </t>
        </is>
      </c>
      <c r="F323" s="81" t="inlineStr">
        <is>
          <t>SR IS Engineering</t>
        </is>
      </c>
      <c r="G323" s="81" t="n">
        <v>100182</v>
      </c>
      <c r="H323" t="inlineStr">
        <is>
          <t>Wireless.Sr Engineer</t>
        </is>
      </c>
      <c r="I323" t="inlineStr">
        <is>
          <t>$</t>
        </is>
      </c>
      <c r="J323" s="81" t="n">
        <v>119.28</v>
      </c>
    </row>
    <row r="324">
      <c r="B324">
        <f>Table1[[#This Row],[Cost Center Name]]&amp;" "&amp;Table1[[#This Row],[Job Name]]&amp;" "&amp;"-"&amp;" "&amp;Table1[[#This Row],[Job Code]]</f>
        <v/>
      </c>
      <c r="C324" t="inlineStr">
        <is>
          <t>US</t>
        </is>
      </c>
      <c r="D324" t="inlineStr">
        <is>
          <t>USD</t>
        </is>
      </c>
      <c r="E324" t="inlineStr">
        <is>
          <t xml:space="preserve">Strategic Staffing </t>
        </is>
      </c>
      <c r="F324" s="81" t="inlineStr">
        <is>
          <t>SR IS Kaiser Prgm</t>
        </is>
      </c>
      <c r="G324" s="81" t="n">
        <v>100152</v>
      </c>
      <c r="H324" t="inlineStr">
        <is>
          <t>R&amp;S.Engineer</t>
        </is>
      </c>
      <c r="I324" t="inlineStr">
        <is>
          <t>$</t>
        </is>
      </c>
      <c r="J324" s="81" t="n">
        <v>99.76000000000001</v>
      </c>
    </row>
    <row r="325">
      <c r="B325">
        <f>Table1[[#This Row],[Cost Center Name]]&amp;" "&amp;Table1[[#This Row],[Job Name]]&amp;" "&amp;"-"&amp;" "&amp;Table1[[#This Row],[Job Code]]</f>
        <v/>
      </c>
      <c r="C325" t="inlineStr">
        <is>
          <t>US</t>
        </is>
      </c>
      <c r="D325" t="inlineStr">
        <is>
          <t>USD</t>
        </is>
      </c>
      <c r="E325" t="inlineStr">
        <is>
          <t xml:space="preserve">Strategic Staffing </t>
        </is>
      </c>
      <c r="F325" s="81" t="inlineStr">
        <is>
          <t>SR IS PG&amp;E Prgm</t>
        </is>
      </c>
      <c r="G325" s="81" t="n">
        <v>100140</v>
      </c>
      <c r="H325" t="inlineStr">
        <is>
          <t>Project Management.Proj Coor</t>
        </is>
      </c>
      <c r="I325" t="inlineStr">
        <is>
          <t>$</t>
        </is>
      </c>
      <c r="J325" s="81" t="n">
        <v>52.48</v>
      </c>
    </row>
    <row r="326">
      <c r="B326">
        <f>Table1[[#This Row],[Cost Center Name]]&amp;" "&amp;Table1[[#This Row],[Job Name]]&amp;" "&amp;"-"&amp;" "&amp;Table1[[#This Row],[Job Code]]</f>
        <v/>
      </c>
      <c r="C326" t="inlineStr">
        <is>
          <t>US</t>
        </is>
      </c>
      <c r="D326" t="inlineStr">
        <is>
          <t>USD</t>
        </is>
      </c>
      <c r="E326" t="inlineStr">
        <is>
          <t xml:space="preserve">Strategic Staffing </t>
        </is>
      </c>
      <c r="F326" s="81" t="inlineStr">
        <is>
          <t>SR IS PG&amp;E Prgm</t>
        </is>
      </c>
      <c r="G326" s="81" t="n">
        <v>100142</v>
      </c>
      <c r="H326" t="inlineStr">
        <is>
          <t>Project Management.Sr PM</t>
        </is>
      </c>
      <c r="I326" t="inlineStr">
        <is>
          <t>$</t>
        </is>
      </c>
      <c r="J326" s="81" t="n">
        <v>106.6</v>
      </c>
    </row>
    <row r="327">
      <c r="B327">
        <f>Table1[[#This Row],[Cost Center Name]]&amp;" "&amp;Table1[[#This Row],[Job Name]]&amp;" "&amp;"-"&amp;" "&amp;Table1[[#This Row],[Job Code]]</f>
        <v/>
      </c>
      <c r="C327" t="inlineStr">
        <is>
          <t>US</t>
        </is>
      </c>
      <c r="D327" t="inlineStr">
        <is>
          <t>USD</t>
        </is>
      </c>
      <c r="E327" t="inlineStr">
        <is>
          <t xml:space="preserve">Strategic Staffing </t>
        </is>
      </c>
      <c r="F327" s="81" t="inlineStr">
        <is>
          <t>SR IS State Farm Prgm</t>
        </is>
      </c>
      <c r="G327" s="81" t="n">
        <v>100177</v>
      </c>
      <c r="H327" t="inlineStr">
        <is>
          <t>Voice.Engineer</t>
        </is>
      </c>
      <c r="I327" t="inlineStr">
        <is>
          <t>$</t>
        </is>
      </c>
      <c r="J327" s="81" t="n">
        <v>102.69</v>
      </c>
    </row>
    <row r="328">
      <c r="B328">
        <f>Table1[[#This Row],[Cost Center Name]]&amp;" "&amp;Table1[[#This Row],[Job Name]]&amp;" "&amp;"-"&amp;" "&amp;Table1[[#This Row],[Job Code]]</f>
        <v/>
      </c>
      <c r="C328" t="inlineStr">
        <is>
          <t>US</t>
        </is>
      </c>
      <c r="D328" t="inlineStr">
        <is>
          <t>USD</t>
        </is>
      </c>
      <c r="E328" t="inlineStr">
        <is>
          <t xml:space="preserve">Strategic Staffing </t>
        </is>
      </c>
      <c r="F328" s="81" t="inlineStr">
        <is>
          <t>SR IS WWT FTC</t>
        </is>
      </c>
      <c r="G328" s="81" t="n">
        <v>100141</v>
      </c>
      <c r="H328" t="inlineStr">
        <is>
          <t>Project Management.Proj Coor FTC</t>
        </is>
      </c>
      <c r="I328" t="inlineStr">
        <is>
          <t>$</t>
        </is>
      </c>
      <c r="J328" s="81" t="n">
        <v>56.55</v>
      </c>
    </row>
    <row r="329">
      <c r="B329">
        <f>Table1[[#This Row],[Cost Center Name]]&amp;" "&amp;Table1[[#This Row],[Job Name]]&amp;" "&amp;"-"&amp;" "&amp;Table1[[#This Row],[Job Code]]</f>
        <v/>
      </c>
      <c r="C329" t="inlineStr">
        <is>
          <t>US</t>
        </is>
      </c>
      <c r="D329" t="inlineStr">
        <is>
          <t>USD</t>
        </is>
      </c>
      <c r="E329" t="inlineStr">
        <is>
          <t xml:space="preserve">Strategic Staffing </t>
        </is>
      </c>
      <c r="F329" s="81" t="inlineStr">
        <is>
          <t>SR IS WWT FTC</t>
        </is>
      </c>
      <c r="G329" s="81" t="n">
        <v>100143</v>
      </c>
      <c r="H329" t="inlineStr">
        <is>
          <t>Project Management.Sr PM FTC</t>
        </is>
      </c>
      <c r="I329" t="inlineStr">
        <is>
          <t>$</t>
        </is>
      </c>
      <c r="J329" s="81" t="n">
        <v>110.2</v>
      </c>
    </row>
    <row r="330">
      <c r="B330">
        <f>Table1[[#This Row],[Cost Center Name]]&amp;" "&amp;Table1[[#This Row],[Job Name]]&amp;" "&amp;"-"&amp;" "&amp;Table1[[#This Row],[Job Code]]</f>
        <v/>
      </c>
      <c r="C330" t="inlineStr">
        <is>
          <t>US</t>
        </is>
      </c>
      <c r="D330" t="inlineStr">
        <is>
          <t>USD</t>
        </is>
      </c>
      <c r="E330" t="inlineStr">
        <is>
          <t xml:space="preserve">Strategic Staffing </t>
        </is>
      </c>
      <c r="F330" s="81" t="inlineStr">
        <is>
          <t>SR IS WWT FTC</t>
        </is>
      </c>
      <c r="G330" s="81" t="n">
        <v>100144</v>
      </c>
      <c r="H330" t="inlineStr">
        <is>
          <t>Project Management.Sr PM FTC 2</t>
        </is>
      </c>
      <c r="I330" t="inlineStr">
        <is>
          <t>$</t>
        </is>
      </c>
      <c r="J330" s="81" t="n">
        <v>149.35</v>
      </c>
    </row>
    <row r="331">
      <c r="B331">
        <f>Table1[[#This Row],[Cost Center Name]]&amp;" "&amp;Table1[[#This Row],[Job Name]]&amp;" "&amp;"-"&amp;" "&amp;Table1[[#This Row],[Job Code]]</f>
        <v/>
      </c>
      <c r="C331" t="inlineStr">
        <is>
          <t>US</t>
        </is>
      </c>
      <c r="D331" t="inlineStr">
        <is>
          <t>USD</t>
        </is>
      </c>
      <c r="E331" t="inlineStr">
        <is>
          <t xml:space="preserve">Strategic Staffing </t>
        </is>
      </c>
      <c r="F331" s="81" t="inlineStr">
        <is>
          <t>SR IS WWT FTC</t>
        </is>
      </c>
      <c r="G331" s="81" t="n">
        <v>100166</v>
      </c>
      <c r="H331" t="inlineStr">
        <is>
          <t>Storage.Analyst FTC</t>
        </is>
      </c>
      <c r="I331" t="inlineStr">
        <is>
          <t>$</t>
        </is>
      </c>
      <c r="J331" s="81" t="n">
        <v>52.2</v>
      </c>
    </row>
    <row r="332">
      <c r="B332">
        <f>Table1[[#This Row],[Cost Center Name]]&amp;" "&amp;Table1[[#This Row],[Job Name]]&amp;" "&amp;"-"&amp;" "&amp;Table1[[#This Row],[Job Code]]</f>
        <v/>
      </c>
      <c r="C332" t="inlineStr">
        <is>
          <t>US</t>
        </is>
      </c>
      <c r="D332" t="inlineStr">
        <is>
          <t>USD</t>
        </is>
      </c>
      <c r="E332" t="inlineStr">
        <is>
          <t xml:space="preserve">Strategic Staffing </t>
        </is>
      </c>
      <c r="F332" s="81" t="inlineStr">
        <is>
          <t>SR IS WWT FTC</t>
        </is>
      </c>
      <c r="G332" s="81" t="n">
        <v>100173</v>
      </c>
      <c r="H332" t="inlineStr">
        <is>
          <t>Support.Technician FTC 1</t>
        </is>
      </c>
      <c r="I332" t="inlineStr">
        <is>
          <t>$</t>
        </is>
      </c>
      <c r="J332" s="81" t="n">
        <v>47.85</v>
      </c>
    </row>
    <row r="333">
      <c r="B333">
        <f>Table1[[#This Row],[Cost Center Name]]&amp;" "&amp;Table1[[#This Row],[Job Name]]&amp;" "&amp;"-"&amp;" "&amp;Table1[[#This Row],[Job Code]]</f>
        <v/>
      </c>
      <c r="C333" t="inlineStr">
        <is>
          <t>US</t>
        </is>
      </c>
      <c r="D333" t="inlineStr">
        <is>
          <t>USD</t>
        </is>
      </c>
      <c r="E333" t="inlineStr">
        <is>
          <t xml:space="preserve">Strategic Staffing </t>
        </is>
      </c>
      <c r="F333" s="81" t="inlineStr">
        <is>
          <t>SR IS WWT FTC</t>
        </is>
      </c>
      <c r="G333" s="81" t="n">
        <v>100195</v>
      </c>
      <c r="H333" t="inlineStr">
        <is>
          <t>R&amp;S.Engineer FTC 1</t>
        </is>
      </c>
      <c r="I333" t="inlineStr">
        <is>
          <t>$</t>
        </is>
      </c>
      <c r="J333" s="81" t="n">
        <v>101.5</v>
      </c>
    </row>
    <row r="334">
      <c r="B334">
        <f>Table1[[#This Row],[Cost Center Name]]&amp;" "&amp;Table1[[#This Row],[Job Name]]&amp;" "&amp;"-"&amp;" "&amp;Table1[[#This Row],[Job Code]]</f>
        <v/>
      </c>
      <c r="C334" t="inlineStr">
        <is>
          <t>US</t>
        </is>
      </c>
      <c r="D334" t="inlineStr">
        <is>
          <t>USD</t>
        </is>
      </c>
      <c r="E334" t="inlineStr">
        <is>
          <t xml:space="preserve">Strategic Staffing </t>
        </is>
      </c>
      <c r="F334" s="81" t="inlineStr">
        <is>
          <t>SR IS WWT FTC</t>
        </is>
      </c>
      <c r="G334" s="81" t="n">
        <v>100197</v>
      </c>
      <c r="H334" t="inlineStr">
        <is>
          <t>Storage.Engineer FTC</t>
        </is>
      </c>
      <c r="I334" t="inlineStr">
        <is>
          <t>$</t>
        </is>
      </c>
      <c r="J334" s="81" t="n">
        <v>95.7</v>
      </c>
    </row>
    <row r="335">
      <c r="B335">
        <f>Table1[[#This Row],[Cost Center Name]]&amp;" "&amp;Table1[[#This Row],[Job Name]]&amp;" "&amp;"-"&amp;" "&amp;Table1[[#This Row],[Job Code]]</f>
        <v/>
      </c>
      <c r="C335" t="inlineStr">
        <is>
          <t>US</t>
        </is>
      </c>
      <c r="D335" t="inlineStr">
        <is>
          <t>USD</t>
        </is>
      </c>
      <c r="E335" t="inlineStr">
        <is>
          <t xml:space="preserve">Strategic Staffing </t>
        </is>
      </c>
      <c r="F335" s="81" t="inlineStr">
        <is>
          <t>SR IS WWT FTC</t>
        </is>
      </c>
      <c r="G335" s="81" t="n">
        <v>100198</v>
      </c>
      <c r="H335" t="inlineStr">
        <is>
          <t>Project Management.PM FTC</t>
        </is>
      </c>
      <c r="I335" t="inlineStr">
        <is>
          <t>$</t>
        </is>
      </c>
      <c r="J335" s="81" t="n">
        <v>92.8</v>
      </c>
    </row>
    <row r="336">
      <c r="B336">
        <f>Table1[[#This Row],[Cost Center Name]]&amp;" "&amp;Table1[[#This Row],[Job Name]]&amp;" "&amp;"-"&amp;" "&amp;Table1[[#This Row],[Job Code]]</f>
        <v/>
      </c>
      <c r="C336" t="inlineStr">
        <is>
          <t>US</t>
        </is>
      </c>
      <c r="D336" t="inlineStr">
        <is>
          <t>USD</t>
        </is>
      </c>
      <c r="E336" t="inlineStr">
        <is>
          <t xml:space="preserve">Strategic Staffing </t>
        </is>
      </c>
      <c r="F336" s="81" t="inlineStr">
        <is>
          <t>SR IS WWT FTC</t>
        </is>
      </c>
      <c r="G336" s="81" t="n">
        <v>100201</v>
      </c>
      <c r="H336" t="inlineStr">
        <is>
          <t>Project Management.PgM FTC 1</t>
        </is>
      </c>
      <c r="I336" t="inlineStr">
        <is>
          <t>$</t>
        </is>
      </c>
      <c r="J336" s="81" t="n">
        <v>130.5</v>
      </c>
    </row>
    <row r="337">
      <c r="B337">
        <f>Table1[[#This Row],[Cost Center Name]]&amp;" "&amp;Table1[[#This Row],[Job Name]]&amp;" "&amp;"-"&amp;" "&amp;Table1[[#This Row],[Job Code]]</f>
        <v/>
      </c>
      <c r="C337" t="inlineStr">
        <is>
          <t>US</t>
        </is>
      </c>
      <c r="D337" t="inlineStr">
        <is>
          <t>USD</t>
        </is>
      </c>
      <c r="E337" t="inlineStr">
        <is>
          <t xml:space="preserve">Strategic Staffing </t>
        </is>
      </c>
      <c r="F337" s="81" t="inlineStr">
        <is>
          <t>SR IS WWT FTC</t>
        </is>
      </c>
      <c r="G337" s="81" t="n">
        <v>100202</v>
      </c>
      <c r="H337" t="inlineStr">
        <is>
          <t>Project Management.Sr PM FTC 1</t>
        </is>
      </c>
      <c r="I337" t="inlineStr">
        <is>
          <t>$</t>
        </is>
      </c>
      <c r="J337" s="81" t="n">
        <v>87.73</v>
      </c>
    </row>
    <row r="338">
      <c r="B338">
        <f>Table1[[#This Row],[Cost Center Name]]&amp;" "&amp;Table1[[#This Row],[Job Name]]&amp;" "&amp;"-"&amp;" "&amp;Table1[[#This Row],[Job Code]]</f>
        <v/>
      </c>
      <c r="C338" t="inlineStr">
        <is>
          <t>US</t>
        </is>
      </c>
      <c r="D338" t="inlineStr">
        <is>
          <t>USD</t>
        </is>
      </c>
      <c r="E338" t="inlineStr">
        <is>
          <t xml:space="preserve">Strategic Staffing </t>
        </is>
      </c>
      <c r="F338" s="81" t="inlineStr">
        <is>
          <t>SR IS WWT FTC</t>
        </is>
      </c>
      <c r="G338" s="81" t="n">
        <v>100205</v>
      </c>
      <c r="H338" t="inlineStr">
        <is>
          <t>Support.Engineer FTC 2</t>
        </is>
      </c>
      <c r="I338" t="inlineStr">
        <is>
          <t>$</t>
        </is>
      </c>
      <c r="J338" s="81" t="n">
        <v>50.75</v>
      </c>
    </row>
    <row r="339">
      <c r="B339">
        <f>Table1[[#This Row],[Cost Center Name]]&amp;" "&amp;Table1[[#This Row],[Job Name]]&amp;" "&amp;"-"&amp;" "&amp;Table1[[#This Row],[Job Code]]</f>
        <v/>
      </c>
      <c r="C339" t="inlineStr">
        <is>
          <t>US</t>
        </is>
      </c>
      <c r="D339" t="inlineStr">
        <is>
          <t>USD</t>
        </is>
      </c>
      <c r="E339" t="inlineStr">
        <is>
          <t xml:space="preserve">Strategic Staffing </t>
        </is>
      </c>
      <c r="F339" s="81" t="inlineStr">
        <is>
          <t>SR IS WWT FTC</t>
        </is>
      </c>
      <c r="G339" s="81" t="n">
        <v>100209</v>
      </c>
      <c r="H339" t="inlineStr">
        <is>
          <t>Data Center.Engineer FTC</t>
        </is>
      </c>
      <c r="I339" t="inlineStr">
        <is>
          <t>$</t>
        </is>
      </c>
      <c r="J339" s="81" t="n">
        <v>117.45</v>
      </c>
    </row>
    <row r="340">
      <c r="B340">
        <f>Table1[[#This Row],[Cost Center Name]]&amp;" "&amp;Table1[[#This Row],[Job Name]]&amp;" "&amp;"-"&amp;" "&amp;Table1[[#This Row],[Job Code]]</f>
        <v/>
      </c>
      <c r="C340" t="inlineStr">
        <is>
          <t>US</t>
        </is>
      </c>
      <c r="D340" t="inlineStr">
        <is>
          <t>USD</t>
        </is>
      </c>
      <c r="E340" t="inlineStr">
        <is>
          <t xml:space="preserve">Strategic Staffing </t>
        </is>
      </c>
      <c r="F340" s="81" t="inlineStr">
        <is>
          <t>SR IS WWT FTC</t>
        </is>
      </c>
      <c r="G340" s="81" t="n">
        <v>100213</v>
      </c>
      <c r="H340" t="inlineStr">
        <is>
          <t>R&amp;S.Sr Engineer FTC</t>
        </is>
      </c>
      <c r="I340" t="inlineStr">
        <is>
          <t>$</t>
        </is>
      </c>
      <c r="J340" s="81" t="n">
        <v>123.25</v>
      </c>
    </row>
    <row r="341">
      <c r="B341">
        <f>Table1[[#This Row],[Cost Center Name]]&amp;" "&amp;Table1[[#This Row],[Job Name]]&amp;" "&amp;"-"&amp;" "&amp;Table1[[#This Row],[Job Code]]</f>
        <v/>
      </c>
      <c r="C341" t="inlineStr">
        <is>
          <t>US</t>
        </is>
      </c>
      <c r="D341" t="inlineStr">
        <is>
          <t>USD</t>
        </is>
      </c>
      <c r="E341" t="inlineStr">
        <is>
          <t xml:space="preserve">Strategic Staffing </t>
        </is>
      </c>
      <c r="F341" s="81" t="inlineStr">
        <is>
          <t>SR IS WWT FTC</t>
        </is>
      </c>
      <c r="G341" s="81" t="n">
        <v>100217</v>
      </c>
      <c r="H341" t="inlineStr">
        <is>
          <t>Storage.Analyst FTC 2</t>
        </is>
      </c>
      <c r="I341" t="inlineStr">
        <is>
          <t>$</t>
        </is>
      </c>
      <c r="J341" s="81" t="n">
        <v>60.9</v>
      </c>
    </row>
    <row r="342">
      <c r="B342">
        <f>Table1[[#This Row],[Cost Center Name]]&amp;" "&amp;Table1[[#This Row],[Job Name]]&amp;" "&amp;"-"&amp;" "&amp;Table1[[#This Row],[Job Code]]</f>
        <v/>
      </c>
      <c r="C342" t="inlineStr">
        <is>
          <t>US</t>
        </is>
      </c>
      <c r="D342" t="inlineStr">
        <is>
          <t>USD</t>
        </is>
      </c>
      <c r="E342" t="inlineStr">
        <is>
          <t xml:space="preserve">Strategic Staffing </t>
        </is>
      </c>
      <c r="F342" s="81" t="inlineStr">
        <is>
          <t>SR IS WWT FTC</t>
        </is>
      </c>
      <c r="G342" s="81" t="n">
        <v>100218</v>
      </c>
      <c r="H342" t="inlineStr">
        <is>
          <t>Storage.Operations Analyst FTC</t>
        </is>
      </c>
      <c r="I342" t="inlineStr">
        <is>
          <t>$</t>
        </is>
      </c>
      <c r="J342" s="81" t="n">
        <v>85.55</v>
      </c>
    </row>
    <row r="343">
      <c r="B343">
        <f>Table1[[#This Row],[Cost Center Name]]&amp;" "&amp;Table1[[#This Row],[Job Name]]&amp;" "&amp;"-"&amp;" "&amp;Table1[[#This Row],[Job Code]]</f>
        <v/>
      </c>
      <c r="C343" t="inlineStr">
        <is>
          <t>US</t>
        </is>
      </c>
      <c r="D343" t="inlineStr">
        <is>
          <t>USD</t>
        </is>
      </c>
      <c r="E343" t="inlineStr">
        <is>
          <t xml:space="preserve">Strategic Staffing </t>
        </is>
      </c>
      <c r="F343" s="81" t="inlineStr">
        <is>
          <t>SR IS WWT FTC</t>
        </is>
      </c>
      <c r="G343" s="81" t="n">
        <v>100222</v>
      </c>
      <c r="H343" t="inlineStr">
        <is>
          <t>Software.Engineer FTC 1</t>
        </is>
      </c>
      <c r="I343" t="inlineStr">
        <is>
          <t>$</t>
        </is>
      </c>
      <c r="J343" s="81" t="n">
        <v>87</v>
      </c>
    </row>
    <row r="344">
      <c r="B344">
        <f>Table1[[#This Row],[Cost Center Name]]&amp;" "&amp;Table1[[#This Row],[Job Name]]&amp;" "&amp;"-"&amp;" "&amp;Table1[[#This Row],[Job Code]]</f>
        <v/>
      </c>
      <c r="C344" t="inlineStr">
        <is>
          <t>US</t>
        </is>
      </c>
      <c r="D344" t="inlineStr">
        <is>
          <t>USD</t>
        </is>
      </c>
      <c r="E344" t="inlineStr">
        <is>
          <t xml:space="preserve">Strategic Staffing </t>
        </is>
      </c>
      <c r="F344" s="81" t="inlineStr">
        <is>
          <t>SR IS WWT FTC</t>
        </is>
      </c>
      <c r="G344" s="81" t="n">
        <v>100223</v>
      </c>
      <c r="H344" t="inlineStr">
        <is>
          <t>QA.Engineer FTC</t>
        </is>
      </c>
      <c r="I344" t="inlineStr">
        <is>
          <t>$</t>
        </is>
      </c>
      <c r="J344" s="81" t="n">
        <v>73.95</v>
      </c>
    </row>
    <row r="345">
      <c r="B345">
        <f>Table1[[#This Row],[Cost Center Name]]&amp;" "&amp;Table1[[#This Row],[Job Name]]&amp;" "&amp;"-"&amp;" "&amp;Table1[[#This Row],[Job Code]]</f>
        <v/>
      </c>
      <c r="C345" t="inlineStr">
        <is>
          <t>US</t>
        </is>
      </c>
      <c r="D345" t="inlineStr">
        <is>
          <t>USD</t>
        </is>
      </c>
      <c r="E345" t="inlineStr">
        <is>
          <t xml:space="preserve">Strategic Staffing </t>
        </is>
      </c>
      <c r="F345" s="81" t="inlineStr">
        <is>
          <t>SR IS WWT FTC</t>
        </is>
      </c>
      <c r="G345" s="81" t="n">
        <v>100231</v>
      </c>
      <c r="H345" t="inlineStr">
        <is>
          <t>Software.Engineer FTC 2</t>
        </is>
      </c>
      <c r="I345" t="inlineStr">
        <is>
          <t>$</t>
        </is>
      </c>
      <c r="J345" s="81" t="n">
        <v>73.95</v>
      </c>
    </row>
    <row r="346">
      <c r="B346">
        <f>Table1[[#This Row],[Cost Center Name]]&amp;" "&amp;Table1[[#This Row],[Job Name]]&amp;" "&amp;"-"&amp;" "&amp;Table1[[#This Row],[Job Code]]</f>
        <v/>
      </c>
      <c r="C346" t="inlineStr">
        <is>
          <t>US</t>
        </is>
      </c>
      <c r="D346" t="inlineStr">
        <is>
          <t>USD</t>
        </is>
      </c>
      <c r="E346" t="inlineStr">
        <is>
          <t xml:space="preserve">Strategic Staffing </t>
        </is>
      </c>
      <c r="F346" s="81" t="inlineStr">
        <is>
          <t>SR IS WWT FTC</t>
        </is>
      </c>
      <c r="G346" s="81" t="n">
        <v>100234</v>
      </c>
      <c r="H346" t="inlineStr">
        <is>
          <t>IS Business.Analyst FTC</t>
        </is>
      </c>
      <c r="I346" t="inlineStr">
        <is>
          <t>$</t>
        </is>
      </c>
      <c r="J346" s="81" t="n">
        <v>82.65000000000001</v>
      </c>
    </row>
    <row r="347">
      <c r="B347">
        <f>Table1[[#This Row],[Cost Center Name]]&amp;" "&amp;Table1[[#This Row],[Job Name]]&amp;" "&amp;"-"&amp;" "&amp;Table1[[#This Row],[Job Code]]</f>
        <v/>
      </c>
      <c r="C347" t="inlineStr">
        <is>
          <t>US</t>
        </is>
      </c>
      <c r="D347" t="inlineStr">
        <is>
          <t>USD</t>
        </is>
      </c>
      <c r="E347" t="inlineStr">
        <is>
          <t xml:space="preserve">Strategic Staffing </t>
        </is>
      </c>
      <c r="F347" s="81" t="inlineStr">
        <is>
          <t>SR IS WWT FTC</t>
        </is>
      </c>
      <c r="G347" s="81" t="n">
        <v>100235</v>
      </c>
      <c r="H347" t="inlineStr">
        <is>
          <t>Project Management.Proj Coor FTC 1</t>
        </is>
      </c>
      <c r="I347" t="inlineStr">
        <is>
          <t>$</t>
        </is>
      </c>
      <c r="J347" s="81" t="n">
        <v>44.95</v>
      </c>
    </row>
    <row r="348">
      <c r="B348">
        <f>Table1[[#This Row],[Cost Center Name]]&amp;" "&amp;Table1[[#This Row],[Job Name]]&amp;" "&amp;"-"&amp;" "&amp;Table1[[#This Row],[Job Code]]</f>
        <v/>
      </c>
      <c r="C348" t="inlineStr">
        <is>
          <t>US</t>
        </is>
      </c>
      <c r="D348" t="inlineStr">
        <is>
          <t>USD</t>
        </is>
      </c>
      <c r="E348" t="inlineStr">
        <is>
          <t xml:space="preserve">Strategic Staffing </t>
        </is>
      </c>
      <c r="F348" s="81" t="inlineStr">
        <is>
          <t>SR IS WWT FTC</t>
        </is>
      </c>
      <c r="G348" s="81" t="n">
        <v>100241</v>
      </c>
      <c r="H348" t="inlineStr">
        <is>
          <t>Project Management.Proj Coor NPower FTC</t>
        </is>
      </c>
      <c r="I348" t="inlineStr">
        <is>
          <t>$</t>
        </is>
      </c>
      <c r="J348" s="81" t="n">
        <v>47.85</v>
      </c>
    </row>
    <row r="349">
      <c r="B349">
        <f>Table1[[#This Row],[Cost Center Name]]&amp;" "&amp;Table1[[#This Row],[Job Name]]&amp;" "&amp;"-"&amp;" "&amp;Table1[[#This Row],[Job Code]]</f>
        <v/>
      </c>
      <c r="C349" t="inlineStr">
        <is>
          <t>US</t>
        </is>
      </c>
      <c r="D349" t="inlineStr">
        <is>
          <t>USD</t>
        </is>
      </c>
      <c r="E349" t="inlineStr">
        <is>
          <t xml:space="preserve">Strategic Staffing </t>
        </is>
      </c>
      <c r="F349" s="81" t="inlineStr">
        <is>
          <t>SR IS WWT FTC</t>
        </is>
      </c>
      <c r="G349" s="81" t="n">
        <v>100259</v>
      </c>
      <c r="H349" t="inlineStr">
        <is>
          <t>Data Center.Engineer FTC 1</t>
        </is>
      </c>
      <c r="I349" t="inlineStr">
        <is>
          <t>$</t>
        </is>
      </c>
      <c r="J349" s="81" t="n">
        <v>105.85</v>
      </c>
    </row>
    <row r="350">
      <c r="B350">
        <f>Table1[[#This Row],[Cost Center Name]]&amp;" "&amp;Table1[[#This Row],[Job Name]]&amp;" "&amp;"-"&amp;" "&amp;Table1[[#This Row],[Job Code]]</f>
        <v/>
      </c>
      <c r="C350" t="inlineStr">
        <is>
          <t>US</t>
        </is>
      </c>
      <c r="D350" t="inlineStr">
        <is>
          <t>USD</t>
        </is>
      </c>
      <c r="E350" t="inlineStr">
        <is>
          <t xml:space="preserve">Strategic Staffing </t>
        </is>
      </c>
      <c r="F350" s="81" t="inlineStr">
        <is>
          <t>SR MX Dedicated PMO</t>
        </is>
      </c>
      <c r="G350" s="81" t="n">
        <v>100140</v>
      </c>
      <c r="H350" t="inlineStr">
        <is>
          <t>Project Management.Proj Coor</t>
        </is>
      </c>
      <c r="I350" t="inlineStr">
        <is>
          <t>$</t>
        </is>
      </c>
      <c r="J350" s="81" t="n">
        <v>61.12</v>
      </c>
    </row>
    <row r="351">
      <c r="B351">
        <f>Table1[[#This Row],[Cost Center Name]]&amp;" "&amp;Table1[[#This Row],[Job Name]]&amp;" "&amp;"-"&amp;" "&amp;Table1[[#This Row],[Job Code]]</f>
        <v/>
      </c>
      <c r="C351" t="inlineStr">
        <is>
          <t>US</t>
        </is>
      </c>
      <c r="D351" t="inlineStr">
        <is>
          <t>USD</t>
        </is>
      </c>
      <c r="E351" t="inlineStr">
        <is>
          <t xml:space="preserve">Strategic Staffing </t>
        </is>
      </c>
      <c r="F351" s="81" t="inlineStr">
        <is>
          <t>SR MX Staffing Coordinators</t>
        </is>
      </c>
      <c r="G351" s="81" t="n">
        <v>100140</v>
      </c>
      <c r="H351" t="inlineStr">
        <is>
          <t>Project Management.Proj Coor</t>
        </is>
      </c>
      <c r="I351" t="inlineStr">
        <is>
          <t>$</t>
        </is>
      </c>
      <c r="J351" s="81" t="n">
        <v>78.72</v>
      </c>
    </row>
    <row r="352">
      <c r="B352">
        <f>Table1[[#This Row],[Cost Center Name]]&amp;" "&amp;Table1[[#This Row],[Job Name]]&amp;" "&amp;"-"&amp;" "&amp;Table1[[#This Row],[Job Code]]</f>
        <v/>
      </c>
      <c r="C352" t="inlineStr">
        <is>
          <t>US</t>
        </is>
      </c>
      <c r="D352" t="inlineStr">
        <is>
          <t>USD</t>
        </is>
      </c>
      <c r="E352" t="inlineStr">
        <is>
          <t xml:space="preserve">Strategic Staffing </t>
        </is>
      </c>
      <c r="F352" s="81" t="inlineStr">
        <is>
          <t>SR OH Allctd</t>
        </is>
      </c>
      <c r="G352" s="81" t="n">
        <v>100146</v>
      </c>
      <c r="H352" t="inlineStr">
        <is>
          <t>Services Overhead.Director</t>
        </is>
      </c>
      <c r="I352" t="inlineStr">
        <is>
          <t>$</t>
        </is>
      </c>
      <c r="J352" s="81" t="n">
        <v>227.25</v>
      </c>
    </row>
    <row r="353">
      <c r="B353">
        <f>Table1[[#This Row],[Cost Center Name]]&amp;" "&amp;Table1[[#This Row],[Job Name]]&amp;" "&amp;"-"&amp;" "&amp;Table1[[#This Row],[Job Code]]</f>
        <v/>
      </c>
      <c r="C353" t="inlineStr">
        <is>
          <t>US</t>
        </is>
      </c>
      <c r="D353" t="inlineStr">
        <is>
          <t>USD</t>
        </is>
      </c>
      <c r="E353" t="inlineStr">
        <is>
          <t xml:space="preserve">Strategic Staffing </t>
        </is>
      </c>
      <c r="F353" s="81" t="inlineStr">
        <is>
          <t>SR OH Allctd</t>
        </is>
      </c>
      <c r="G353" s="81" t="n">
        <v>100147</v>
      </c>
      <c r="H353" t="inlineStr">
        <is>
          <t>Services Overhead.Executive</t>
        </is>
      </c>
      <c r="I353" t="inlineStr">
        <is>
          <t>$</t>
        </is>
      </c>
      <c r="J353" s="81" t="n">
        <v>504</v>
      </c>
    </row>
    <row r="354">
      <c r="B354">
        <f>Table1[[#This Row],[Cost Center Name]]&amp;" "&amp;Table1[[#This Row],[Job Name]]&amp;" "&amp;"-"&amp;" "&amp;Table1[[#This Row],[Job Code]]</f>
        <v/>
      </c>
      <c r="C354" t="inlineStr">
        <is>
          <t>US</t>
        </is>
      </c>
      <c r="D354" t="inlineStr">
        <is>
          <t>USD</t>
        </is>
      </c>
      <c r="E354" t="inlineStr">
        <is>
          <t xml:space="preserve">Strategic Staffing </t>
        </is>
      </c>
      <c r="F354" s="81" t="inlineStr">
        <is>
          <t>SR OH Allctd</t>
        </is>
      </c>
      <c r="G354" s="81" t="n">
        <v>100148</v>
      </c>
      <c r="H354" t="inlineStr">
        <is>
          <t>Services Overhead.Manager</t>
        </is>
      </c>
      <c r="I354" t="inlineStr">
        <is>
          <t>$</t>
        </is>
      </c>
      <c r="J354" s="81" t="n">
        <v>159.75</v>
      </c>
    </row>
    <row r="355">
      <c r="B355">
        <f>Table1[[#This Row],[Cost Center Name]]&amp;" "&amp;Table1[[#This Row],[Job Name]]&amp;" "&amp;"-"&amp;" "&amp;Table1[[#This Row],[Job Code]]</f>
        <v/>
      </c>
      <c r="C355" t="inlineStr">
        <is>
          <t>US</t>
        </is>
      </c>
      <c r="D355" t="inlineStr">
        <is>
          <t>USD</t>
        </is>
      </c>
      <c r="E355" t="inlineStr">
        <is>
          <t xml:space="preserve">Strategic Staffing </t>
        </is>
      </c>
      <c r="F355" s="81" t="inlineStr">
        <is>
          <t>SR OH Allctd</t>
        </is>
      </c>
      <c r="G355" s="81" t="n">
        <v>100178</v>
      </c>
      <c r="H355" t="inlineStr">
        <is>
          <t>Voice.Sr Engineer</t>
        </is>
      </c>
      <c r="I355" t="inlineStr">
        <is>
          <t>$</t>
        </is>
      </c>
      <c r="J355" s="81" t="n">
        <v>173.25</v>
      </c>
    </row>
    <row r="356">
      <c r="B356">
        <f>Table1[[#This Row],[Cost Center Name]]&amp;" "&amp;Table1[[#This Row],[Job Name]]&amp;" "&amp;"-"&amp;" "&amp;Table1[[#This Row],[Job Code]]</f>
        <v/>
      </c>
      <c r="C356" t="inlineStr">
        <is>
          <t>US</t>
        </is>
      </c>
      <c r="D356" t="inlineStr">
        <is>
          <t>USD</t>
        </is>
      </c>
      <c r="E356" t="inlineStr">
        <is>
          <t xml:space="preserve">Strategic Staffing </t>
        </is>
      </c>
      <c r="F356" s="81" t="inlineStr">
        <is>
          <t>SR OH Allctd - GES Central</t>
        </is>
      </c>
      <c r="G356" s="81" t="n">
        <v>100148</v>
      </c>
      <c r="H356" t="inlineStr">
        <is>
          <t>Services Overhead.Manager</t>
        </is>
      </c>
      <c r="I356" t="inlineStr">
        <is>
          <t>$</t>
        </is>
      </c>
      <c r="J356" s="81" t="n">
        <v>159.75</v>
      </c>
    </row>
    <row r="357">
      <c r="B357">
        <f>Table1[[#This Row],[Cost Center Name]]&amp;" "&amp;Table1[[#This Row],[Job Name]]&amp;" "&amp;"-"&amp;" "&amp;Table1[[#This Row],[Job Code]]</f>
        <v/>
      </c>
      <c r="C357" t="inlineStr">
        <is>
          <t>US</t>
        </is>
      </c>
      <c r="D357" t="inlineStr">
        <is>
          <t>USD</t>
        </is>
      </c>
      <c r="E357" t="inlineStr">
        <is>
          <t xml:space="preserve">Strategic Staffing </t>
        </is>
      </c>
      <c r="F357" s="81" t="inlineStr">
        <is>
          <t>SR OH Allctd - GES West</t>
        </is>
      </c>
      <c r="G357" s="81" t="n">
        <v>100146</v>
      </c>
      <c r="H357" t="inlineStr">
        <is>
          <t>Services Overhead.Director</t>
        </is>
      </c>
      <c r="I357" t="inlineStr">
        <is>
          <t>$</t>
        </is>
      </c>
      <c r="J357" s="81" t="n">
        <v>227.25</v>
      </c>
    </row>
    <row r="358">
      <c r="B358">
        <f>Table1[[#This Row],[Cost Center Name]]&amp;" "&amp;Table1[[#This Row],[Job Name]]&amp;" "&amp;"-"&amp;" "&amp;Table1[[#This Row],[Job Code]]</f>
        <v/>
      </c>
      <c r="C358" t="inlineStr">
        <is>
          <t>US</t>
        </is>
      </c>
      <c r="D358" t="inlineStr">
        <is>
          <t>USD</t>
        </is>
      </c>
      <c r="E358" t="inlineStr">
        <is>
          <t xml:space="preserve">Strategic Staffing </t>
        </is>
      </c>
      <c r="F358" s="81" t="inlineStr">
        <is>
          <t>SR OH Allctd - GES West</t>
        </is>
      </c>
      <c r="G358" s="81" t="n">
        <v>100148</v>
      </c>
      <c r="H358" t="inlineStr">
        <is>
          <t>Services Overhead.Manager</t>
        </is>
      </c>
      <c r="I358" t="inlineStr">
        <is>
          <t>$</t>
        </is>
      </c>
      <c r="J358" s="81" t="n">
        <v>159.75</v>
      </c>
    </row>
  </sheetData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codeName="Sheet17">
    <tabColor rgb="FFFFC000"/>
    <outlinePr summaryBelow="1" summaryRight="1"/>
    <pageSetUpPr/>
  </sheetPr>
  <dimension ref="B1:I195"/>
  <sheetViews>
    <sheetView workbookViewId="0">
      <selection activeCell="A1" sqref="A1"/>
    </sheetView>
  </sheetViews>
  <sheetFormatPr baseColWidth="8" defaultColWidth="8.5" defaultRowHeight="14.1"/>
  <cols>
    <col width="46.375" customWidth="1" style="433" min="2" max="2"/>
    <col width="24.875" bestFit="1" customWidth="1" style="433" min="3" max="3"/>
    <col width="52.5" customWidth="1" style="433" min="4" max="4"/>
    <col width="13" customWidth="1" style="433" min="5" max="5"/>
    <col width="13.5" customWidth="1" style="433" min="6" max="6"/>
    <col width="16" bestFit="1" customWidth="1" style="433" min="7" max="7"/>
    <col width="13.375" customWidth="1" style="433" min="8" max="8"/>
    <col width="10.375" bestFit="1" customWidth="1" style="433" min="9" max="9"/>
  </cols>
  <sheetData>
    <row r="1" ht="42" customHeight="1" s="433">
      <c r="D1" s="422" t="inlineStr">
        <is>
          <t>RoleName</t>
        </is>
      </c>
      <c r="E1" s="13" t="inlineStr">
        <is>
          <t>Burdened Internal Cost/h</t>
        </is>
      </c>
      <c r="F1" s="2" t="inlineStr">
        <is>
          <t>Latest Rates</t>
        </is>
      </c>
      <c r="G1" s="2" t="inlineStr">
        <is>
          <t>Comments</t>
        </is>
      </c>
      <c r="H1" s="2" t="inlineStr">
        <is>
          <t>Difference</t>
        </is>
      </c>
      <c r="I1" s="2" t="inlineStr">
        <is>
          <t>% increase</t>
        </is>
      </c>
    </row>
    <row r="2">
      <c r="D2" s="82" t="inlineStr">
        <is>
          <t>Date Updated</t>
        </is>
      </c>
      <c r="E2" s="83" t="n">
        <v>44937</v>
      </c>
      <c r="F2" s="83" t="n">
        <v>44944</v>
      </c>
      <c r="H2" s="2" t="n"/>
    </row>
    <row r="3">
      <c r="C3" s="72" t="n"/>
      <c r="D3" s="46" t="inlineStr">
        <is>
          <t>**IS Delivery Services - Engineering**</t>
        </is>
      </c>
      <c r="E3" s="697" t="n"/>
    </row>
    <row r="4">
      <c r="B4">
        <f>C4&amp;D4</f>
        <v/>
      </c>
      <c r="C4" s="73" t="inlineStr">
        <is>
          <t>IS DS Engineering</t>
        </is>
      </c>
      <c r="D4" s="21" t="inlineStr">
        <is>
          <t>Data Center.Sr Engineer - 100082</t>
        </is>
      </c>
      <c r="E4" s="697" t="n">
        <v>172.08</v>
      </c>
      <c r="F4" s="698">
        <f>VLOOKUP(B4,Input!B:J,9,0)</f>
        <v/>
      </c>
      <c r="H4" s="26">
        <f>F4-E4</f>
        <v/>
      </c>
      <c r="I4" s="75">
        <f>H4/E4</f>
        <v/>
      </c>
    </row>
    <row r="5">
      <c r="B5">
        <f>C5&amp;D5</f>
        <v/>
      </c>
      <c r="C5" s="73" t="inlineStr">
        <is>
          <t>IS DS Engineering</t>
        </is>
      </c>
      <c r="D5" s="21" t="inlineStr">
        <is>
          <t>Data Center.Engineer - 100081</t>
        </is>
      </c>
      <c r="E5" s="697" t="n">
        <v>131.45</v>
      </c>
      <c r="F5" s="698">
        <f>VLOOKUP(B5,Input!B:J,9,0)</f>
        <v/>
      </c>
      <c r="H5" s="26">
        <f>F5-E5</f>
        <v/>
      </c>
      <c r="I5" s="75">
        <f>H5/E5</f>
        <v/>
      </c>
    </row>
    <row r="6">
      <c r="B6">
        <f>C6&amp;D6</f>
        <v/>
      </c>
      <c r="C6" s="76" t="inlineStr">
        <is>
          <t>IS DS Automation</t>
        </is>
      </c>
      <c r="D6" s="21" t="inlineStr">
        <is>
          <t>Automation.Engineer - 100261</t>
        </is>
      </c>
      <c r="E6" s="699" t="n">
        <v>145.2</v>
      </c>
      <c r="F6" s="698">
        <f>VLOOKUP(B6,Input!B:J,9,0)</f>
        <v/>
      </c>
      <c r="H6" s="26">
        <f>F6-E6</f>
        <v/>
      </c>
      <c r="I6" s="75">
        <f>H6/E6</f>
        <v/>
      </c>
    </row>
    <row r="7">
      <c r="B7">
        <f>C7&amp;D7</f>
        <v/>
      </c>
      <c r="C7" s="73" t="inlineStr">
        <is>
          <t>IS DS Engineering</t>
        </is>
      </c>
      <c r="D7" s="21" t="inlineStr">
        <is>
          <t>R&amp;S.Engineer - 100152</t>
        </is>
      </c>
      <c r="E7" s="699" t="n">
        <v>131.45</v>
      </c>
      <c r="F7" s="698">
        <f>VLOOKUP(B7,Input!B:J,9,0)</f>
        <v/>
      </c>
      <c r="H7" s="26">
        <f>F7-E7</f>
        <v/>
      </c>
      <c r="I7" s="75">
        <f>H7/E7</f>
        <v/>
      </c>
    </row>
    <row r="8">
      <c r="B8">
        <f>C8&amp;D8</f>
        <v/>
      </c>
      <c r="C8" s="73" t="inlineStr">
        <is>
          <t>IS DS Engineering</t>
        </is>
      </c>
      <c r="D8" s="21" t="inlineStr">
        <is>
          <t>EUC.Engineer - 100109</t>
        </is>
      </c>
      <c r="E8" s="697" t="n">
        <v>133.84</v>
      </c>
      <c r="F8" s="700">
        <f>E8</f>
        <v/>
      </c>
      <c r="G8" t="inlineStr">
        <is>
          <t>Not found</t>
        </is>
      </c>
      <c r="H8" s="26">
        <f>F8-E8</f>
        <v/>
      </c>
      <c r="I8" s="75">
        <f>H8/E8</f>
        <v/>
      </c>
    </row>
    <row r="9">
      <c r="B9">
        <f>C9&amp;D9</f>
        <v/>
      </c>
      <c r="C9" s="73" t="inlineStr">
        <is>
          <t>IS DS Engineering</t>
        </is>
      </c>
      <c r="D9" s="21" t="inlineStr">
        <is>
          <t>R&amp;S.Sr Engineer - 100153</t>
        </is>
      </c>
      <c r="E9" s="697" t="n">
        <v>181.64</v>
      </c>
      <c r="F9" s="698">
        <f>VLOOKUP(B9,Input!B:J,9,0)</f>
        <v/>
      </c>
      <c r="H9" s="26">
        <f>F9-E9</f>
        <v/>
      </c>
      <c r="I9" s="75">
        <f>H9/E9</f>
        <v/>
      </c>
    </row>
    <row r="10">
      <c r="B10">
        <f>C10&amp;D10</f>
        <v/>
      </c>
      <c r="C10" s="73" t="inlineStr">
        <is>
          <t>IS DS Engineering</t>
        </is>
      </c>
      <c r="D10" s="21" t="inlineStr">
        <is>
          <t>EUC.Sr Engineer - 100110</t>
        </is>
      </c>
      <c r="E10" s="697" t="n">
        <v>148.18</v>
      </c>
      <c r="F10" s="698">
        <f>VLOOKUP(B10,Input!B:J,9,0)</f>
        <v/>
      </c>
      <c r="H10" s="26">
        <f>F10-E10</f>
        <v/>
      </c>
      <c r="I10" s="75">
        <f>H10/E10</f>
        <v/>
      </c>
    </row>
    <row r="11">
      <c r="B11">
        <f>C11&amp;D11</f>
        <v/>
      </c>
      <c r="C11" s="73" t="inlineStr">
        <is>
          <t>IS DS Engineering</t>
        </is>
      </c>
      <c r="D11" s="21" t="inlineStr">
        <is>
          <t>SDN.Architect - 100154</t>
        </is>
      </c>
      <c r="E11" s="697" t="n">
        <v>181.64</v>
      </c>
      <c r="F11" s="698">
        <f>VLOOKUP(B11,Input!B:J,9,0)</f>
        <v/>
      </c>
      <c r="H11" s="26">
        <f>F11-E11</f>
        <v/>
      </c>
      <c r="I11" s="75">
        <f>H11/E11</f>
        <v/>
      </c>
    </row>
    <row r="12">
      <c r="B12">
        <f>C12&amp;D12</f>
        <v/>
      </c>
      <c r="C12" s="73" t="inlineStr">
        <is>
          <t>IS DS Engineering</t>
        </is>
      </c>
      <c r="D12" s="21" t="inlineStr">
        <is>
          <t>Security.Sr Engineer - 100160</t>
        </is>
      </c>
      <c r="E12" s="697" t="n">
        <v>181.64</v>
      </c>
      <c r="F12" s="698">
        <f>VLOOKUP(B12,Input!B:J,9,0)</f>
        <v/>
      </c>
      <c r="H12" s="26">
        <f>F12-E12</f>
        <v/>
      </c>
      <c r="I12" s="75">
        <f>H12/E12</f>
        <v/>
      </c>
    </row>
    <row r="13">
      <c r="B13">
        <f>C13&amp;D13</f>
        <v/>
      </c>
      <c r="C13" s="76" t="inlineStr">
        <is>
          <t>IS DS Automation</t>
        </is>
      </c>
      <c r="D13" s="21" t="inlineStr">
        <is>
          <t>Automation.Sr Engineer - 100272</t>
        </is>
      </c>
      <c r="E13" s="697" t="n">
        <v>167.3</v>
      </c>
      <c r="F13" s="698">
        <f>VLOOKUP(B13,Input!B:J,9,0)</f>
        <v/>
      </c>
      <c r="H13" s="26">
        <f>F13-E13</f>
        <v/>
      </c>
      <c r="I13" s="75">
        <f>H13/E13</f>
        <v/>
      </c>
    </row>
    <row r="14">
      <c r="B14">
        <f>C14&amp;D14</f>
        <v/>
      </c>
      <c r="C14" s="73" t="inlineStr">
        <is>
          <t>IS DS Engineering</t>
        </is>
      </c>
      <c r="D14" s="21" t="inlineStr">
        <is>
          <t>Voice.Sr Engineer UCCE - 100179</t>
        </is>
      </c>
      <c r="E14" s="697" t="n">
        <v>205.54</v>
      </c>
      <c r="F14" s="698">
        <f>VLOOKUP(B14,Input!B:J,9,0)</f>
        <v/>
      </c>
      <c r="H14" s="26">
        <f>F14-E14</f>
        <v/>
      </c>
      <c r="I14" s="75">
        <f>H14/E14</f>
        <v/>
      </c>
    </row>
    <row r="15">
      <c r="B15">
        <f>C15&amp;D15</f>
        <v/>
      </c>
      <c r="C15" s="72" t="inlineStr">
        <is>
          <t>IS DS Engineering</t>
        </is>
      </c>
      <c r="D15" s="21" t="inlineStr">
        <is>
          <t>Voice.Sr Engineer - 100178</t>
        </is>
      </c>
      <c r="E15" s="697" t="n">
        <v>174.47</v>
      </c>
      <c r="F15" s="698">
        <f>VLOOKUP(B15,Input!B:J,9,0)</f>
        <v/>
      </c>
      <c r="H15" s="26">
        <f>F15-E15</f>
        <v/>
      </c>
      <c r="I15" s="75">
        <f>H15/E15</f>
        <v/>
      </c>
    </row>
    <row r="16">
      <c r="B16">
        <f>C16&amp;D16</f>
        <v/>
      </c>
      <c r="C16" s="78" t="inlineStr">
        <is>
          <t>IS MS Enablement</t>
        </is>
      </c>
      <c r="D16" s="21" t="inlineStr">
        <is>
          <t>Voice.Engineer - 100177</t>
        </is>
      </c>
      <c r="E16" s="697" t="n">
        <v>136.23</v>
      </c>
      <c r="F16" s="698">
        <f>VLOOKUP(B16,Input!B:J,9,0)</f>
        <v/>
      </c>
      <c r="H16" s="26">
        <f>F16-E16</f>
        <v/>
      </c>
      <c r="I16" s="75">
        <f>H16/E16</f>
        <v/>
      </c>
    </row>
    <row r="17">
      <c r="B17">
        <f>C17&amp;D17</f>
        <v/>
      </c>
      <c r="C17" s="73" t="inlineStr">
        <is>
          <t>IS DS Engineering</t>
        </is>
      </c>
      <c r="D17" s="21" t="inlineStr">
        <is>
          <t>Wireless.Sr Engineer - 100182</t>
        </is>
      </c>
      <c r="E17" s="697" t="n">
        <v>157.74</v>
      </c>
      <c r="F17" s="698">
        <f>VLOOKUP(B17,Input!B:J,9,0)</f>
        <v/>
      </c>
      <c r="H17" s="26">
        <f>F17-E17</f>
        <v/>
      </c>
      <c r="I17" s="75">
        <f>H17/E17</f>
        <v/>
      </c>
    </row>
    <row r="18">
      <c r="B18">
        <f>C18&amp;D18</f>
        <v/>
      </c>
      <c r="C18" s="73" t="inlineStr">
        <is>
          <t>IS DS Engineering</t>
        </is>
      </c>
      <c r="D18" s="21" t="inlineStr">
        <is>
          <t>Wireless.Engineer - 100182</t>
        </is>
      </c>
      <c r="E18" s="697" t="n">
        <v>143.4</v>
      </c>
      <c r="F18" s="700">
        <f>E18</f>
        <v/>
      </c>
      <c r="G18" t="inlineStr">
        <is>
          <t>Not found</t>
        </is>
      </c>
      <c r="H18" s="26">
        <f>F18-E18</f>
        <v/>
      </c>
      <c r="I18" s="75">
        <f>H18/E18</f>
        <v/>
      </c>
    </row>
    <row r="19">
      <c r="B19">
        <f>C19&amp;D19</f>
        <v/>
      </c>
      <c r="C19" s="73" t="inlineStr">
        <is>
          <t>IS DS Domain Architects</t>
        </is>
      </c>
      <c r="D19" s="21" t="inlineStr">
        <is>
          <t>Design.Architect - 100219</t>
        </is>
      </c>
      <c r="E19" s="697" t="n">
        <v>188.81</v>
      </c>
      <c r="F19" s="698">
        <f>VLOOKUP(B19,Input!B:J,9,0)</f>
        <v/>
      </c>
      <c r="H19" s="26">
        <f>F19-E19</f>
        <v/>
      </c>
      <c r="I19" s="75">
        <f>H19/E19</f>
        <v/>
      </c>
    </row>
    <row r="20">
      <c r="D20" s="21" t="n"/>
      <c r="E20" s="697" t="n"/>
      <c r="F20" s="698" t="n"/>
      <c r="H20" s="26" t="n"/>
      <c r="I20" s="75" t="n"/>
    </row>
    <row r="21">
      <c r="D21" s="46" t="inlineStr">
        <is>
          <t>**IS Enterprise Solutions (formerly Advisory Services) - Consultants**</t>
        </is>
      </c>
      <c r="E21" s="697" t="n"/>
      <c r="F21" s="698" t="n"/>
      <c r="H21" s="26" t="n"/>
      <c r="I21" s="75" t="n"/>
    </row>
    <row r="22">
      <c r="B22">
        <f>C22&amp;D22</f>
        <v/>
      </c>
      <c r="C22" s="73" t="inlineStr">
        <is>
          <t>IS ES Consultants</t>
        </is>
      </c>
      <c r="D22" s="21" t="inlineStr">
        <is>
          <t>AdvisoryServices.PrincipalConsultant - 100007</t>
        </is>
      </c>
      <c r="E22" s="697" t="n">
        <v>217.92</v>
      </c>
      <c r="F22" s="698">
        <f>VLOOKUP(B22,Input!B:J,9,0)</f>
        <v/>
      </c>
      <c r="H22" s="26">
        <f>F22-E22</f>
        <v/>
      </c>
      <c r="I22" s="75">
        <f>H22/E22</f>
        <v/>
      </c>
    </row>
    <row r="23">
      <c r="B23">
        <f>C23&amp;D23</f>
        <v/>
      </c>
      <c r="C23" s="73" t="inlineStr">
        <is>
          <t>IS ES Consultants</t>
        </is>
      </c>
      <c r="D23" s="21" t="inlineStr">
        <is>
          <t>AdvisoryServices.SeniorConsultant - 100008</t>
        </is>
      </c>
      <c r="E23" s="697" t="n">
        <v>177.06</v>
      </c>
      <c r="F23" s="698">
        <f>VLOOKUP(B23,Input!B:J,9,0)</f>
        <v/>
      </c>
      <c r="H23" s="26">
        <f>F23-E23</f>
        <v/>
      </c>
      <c r="I23" s="75">
        <f>H23/E23</f>
        <v/>
      </c>
    </row>
    <row r="24">
      <c r="B24">
        <f>C24&amp;D24</f>
        <v/>
      </c>
      <c r="C24" s="73" t="inlineStr">
        <is>
          <t>IS ES Consultants</t>
        </is>
      </c>
      <c r="D24" s="21" t="inlineStr">
        <is>
          <t>AdvisoryServices.Consultant - 100003</t>
        </is>
      </c>
      <c r="E24" s="697" t="n">
        <v>165.71</v>
      </c>
      <c r="F24" s="698">
        <f>VLOOKUP(B24,Input!B:J,9,0)</f>
        <v/>
      </c>
      <c r="H24" s="26">
        <f>F24-E24</f>
        <v/>
      </c>
      <c r="I24" s="75">
        <f>H24/E24</f>
        <v/>
      </c>
    </row>
    <row r="25">
      <c r="B25">
        <f>C25&amp;D25</f>
        <v/>
      </c>
      <c r="C25" s="73" t="inlineStr">
        <is>
          <t>IS ES Consultants</t>
        </is>
      </c>
      <c r="D25" s="21" t="inlineStr">
        <is>
          <t>AdvisoryServices.Enterprise Architect - 100004</t>
        </is>
      </c>
      <c r="E25" s="697" t="n">
        <v>202.03</v>
      </c>
      <c r="F25" s="698">
        <f>VLOOKUP(B25,Input!B:J,9,0)</f>
        <v/>
      </c>
      <c r="H25" s="26">
        <f>F25-E25</f>
        <v/>
      </c>
      <c r="I25" s="75">
        <f>H25/E25</f>
        <v/>
      </c>
    </row>
    <row r="26">
      <c r="B26">
        <f>C26&amp;D26</f>
        <v/>
      </c>
      <c r="C26" s="73" t="inlineStr">
        <is>
          <t>IS ES Consultants</t>
        </is>
      </c>
      <c r="D26" s="21" t="inlineStr">
        <is>
          <t>AdvisoryServices.LeadConsultant - 100005</t>
        </is>
      </c>
      <c r="E26" s="697" t="n">
        <v>199.76</v>
      </c>
      <c r="F26" s="698">
        <f>VLOOKUP(B26,Input!B:J,9,0)</f>
        <v/>
      </c>
      <c r="H26" s="26">
        <f>F26-E26</f>
        <v/>
      </c>
      <c r="I26" s="75">
        <f>H26/E26</f>
        <v/>
      </c>
    </row>
    <row r="27">
      <c r="B27">
        <f>C27&amp;D27</f>
        <v/>
      </c>
      <c r="C27" s="73" t="inlineStr">
        <is>
          <t>IS ES Consultants</t>
        </is>
      </c>
      <c r="D27" s="21" t="inlineStr">
        <is>
          <t>AdvisoryServices.AssociateConsultant - 100001</t>
        </is>
      </c>
      <c r="E27" s="697" t="n">
        <v>113.5</v>
      </c>
      <c r="F27" s="698">
        <f>VLOOKUP(B27,Input!B:J,9,0)</f>
        <v/>
      </c>
      <c r="H27" s="26">
        <f>F27-E27</f>
        <v/>
      </c>
      <c r="I27" s="75">
        <f>H27/E27</f>
        <v/>
      </c>
    </row>
    <row r="28">
      <c r="B28">
        <f>C28&amp;D28</f>
        <v/>
      </c>
      <c r="C28" s="73" t="inlineStr">
        <is>
          <t>IS ES Consultants</t>
        </is>
      </c>
      <c r="D28" s="21" t="inlineStr">
        <is>
          <t>AdvisoryServices.Chief Architect - 100002</t>
        </is>
      </c>
      <c r="E28" s="697" t="n">
        <v>229.27</v>
      </c>
      <c r="F28" s="698">
        <f>VLOOKUP(B28,Input!B:J,9,0)</f>
        <v/>
      </c>
      <c r="H28" s="26">
        <f>F28-E28</f>
        <v/>
      </c>
      <c r="I28" s="75">
        <f>H28/E28</f>
        <v/>
      </c>
    </row>
    <row r="29">
      <c r="D29" s="21" t="n"/>
      <c r="E29" s="697" t="n"/>
      <c r="F29" s="698" t="n"/>
      <c r="H29" s="26" t="n"/>
      <c r="I29" s="75" t="n"/>
    </row>
    <row r="30">
      <c r="D30" s="21" t="n"/>
      <c r="E30" s="697" t="n"/>
      <c r="F30" s="698" t="n"/>
      <c r="H30" s="26" t="n"/>
      <c r="I30" s="75" t="n"/>
    </row>
    <row r="31">
      <c r="D31" s="46" t="inlineStr">
        <is>
          <t>**Services Engagement Team**</t>
        </is>
      </c>
      <c r="E31" s="697" t="n"/>
      <c r="F31" s="698" t="n"/>
      <c r="H31" s="26" t="n"/>
      <c r="I31" s="75" t="n"/>
    </row>
    <row r="32">
      <c r="B32">
        <f>C32&amp;D32</f>
        <v/>
      </c>
      <c r="C32" s="73" t="inlineStr">
        <is>
          <t xml:space="preserve">SV House Deal Architects </t>
        </is>
      </c>
      <c r="D32" s="21" t="inlineStr">
        <is>
          <t>Engagement.Architect - 100106</t>
        </is>
      </c>
      <c r="E32" s="697" t="n">
        <v>177.48</v>
      </c>
      <c r="F32" s="698">
        <f>VLOOKUP(B32,Input!B:J,9,0)</f>
        <v/>
      </c>
      <c r="H32" s="26">
        <f>F32-E32</f>
        <v/>
      </c>
      <c r="I32" s="75">
        <f>H32/E32</f>
        <v/>
      </c>
    </row>
    <row r="34">
      <c r="D34" s="46" t="inlineStr">
        <is>
          <t>**IS DS Dedicated Roles**</t>
        </is>
      </c>
      <c r="E34" s="697" t="n"/>
      <c r="F34" s="698" t="n"/>
      <c r="H34" s="26" t="n"/>
      <c r="I34" s="75" t="n"/>
    </row>
    <row r="35">
      <c r="B35">
        <f>C35&amp;D35</f>
        <v/>
      </c>
      <c r="C35" s="73" t="inlineStr">
        <is>
          <t>IS DS Federal Dedicated</t>
        </is>
      </c>
      <c r="D35" s="21" t="inlineStr">
        <is>
          <t>Support.Engineer - 100168</t>
        </is>
      </c>
      <c r="E35" s="697" t="n">
        <v>77.28</v>
      </c>
      <c r="F35" s="698">
        <f>VLOOKUP(B35,Input!B:J,9,0)</f>
        <v/>
      </c>
      <c r="H35" s="26">
        <f>F35-E35</f>
        <v/>
      </c>
      <c r="I35" s="75">
        <f>H35/E35</f>
        <v/>
      </c>
    </row>
    <row r="36">
      <c r="B36">
        <f>C36&amp;D36</f>
        <v/>
      </c>
      <c r="C36" s="72" t="inlineStr">
        <is>
          <t>IS DS Dedicated Eng</t>
        </is>
      </c>
      <c r="D36" s="21" t="inlineStr">
        <is>
          <t>Automation.Engineer - 100261</t>
        </is>
      </c>
      <c r="E36" s="697" t="n">
        <v>110.4</v>
      </c>
      <c r="F36" s="698">
        <f>VLOOKUP(B36,Input!B:J,9,0)</f>
        <v/>
      </c>
      <c r="H36" s="26">
        <f>F36-E36</f>
        <v/>
      </c>
      <c r="I36" s="75">
        <f>H36/E36</f>
        <v/>
      </c>
    </row>
    <row r="37">
      <c r="D37" s="21" t="n"/>
      <c r="E37" s="697" t="n"/>
      <c r="F37" s="698" t="n"/>
      <c r="H37" s="26" t="n"/>
      <c r="I37" s="75" t="n"/>
    </row>
    <row r="38">
      <c r="B38">
        <f>C38&amp;D38</f>
        <v/>
      </c>
      <c r="C38" s="72" t="inlineStr">
        <is>
          <t>IS DS Dedicated Eng</t>
        </is>
      </c>
      <c r="D38" s="21" t="inlineStr">
        <is>
          <t>Data Center.Sr Engineer - 100082</t>
        </is>
      </c>
      <c r="E38" s="697" t="n">
        <v>132.48</v>
      </c>
      <c r="F38" s="698">
        <f>VLOOKUP(B38,Input!B:J,9,0)</f>
        <v/>
      </c>
      <c r="H38" s="26">
        <f>F38-E38</f>
        <v/>
      </c>
      <c r="I38" s="75">
        <f>H38/E38</f>
        <v/>
      </c>
    </row>
    <row r="39">
      <c r="B39">
        <f>C39&amp;D39</f>
        <v/>
      </c>
      <c r="C39" s="72" t="inlineStr">
        <is>
          <t>IS DS Dedicated Eng</t>
        </is>
      </c>
      <c r="D39" s="21" t="inlineStr">
        <is>
          <t>R&amp;S.Sr Engineer - 100153</t>
        </is>
      </c>
      <c r="E39" s="697" t="n">
        <v>139.84</v>
      </c>
      <c r="F39" s="698">
        <f>VLOOKUP(B39,Input!B:J,9,0)</f>
        <v/>
      </c>
      <c r="H39" s="26">
        <f>F39-E39</f>
        <v/>
      </c>
      <c r="I39" s="75">
        <f>H39/E39</f>
        <v/>
      </c>
    </row>
    <row r="40">
      <c r="B40">
        <f>C40&amp;D40</f>
        <v/>
      </c>
      <c r="C40" s="72" t="inlineStr">
        <is>
          <t>IS DS Dedicated Eng</t>
        </is>
      </c>
      <c r="D40" s="21" t="inlineStr">
        <is>
          <t>R&amp;S.Engineer - 100152</t>
        </is>
      </c>
      <c r="E40" s="697" t="n">
        <v>101.2</v>
      </c>
      <c r="F40" s="698">
        <f>VLOOKUP(B40,Input!B:J,9,0)</f>
        <v/>
      </c>
      <c r="H40" s="26">
        <f>F40-E40</f>
        <v/>
      </c>
      <c r="I40" s="75">
        <f>H40/E40</f>
        <v/>
      </c>
    </row>
    <row r="41">
      <c r="B41">
        <f>C41&amp;D41</f>
        <v/>
      </c>
      <c r="C41" s="72" t="inlineStr">
        <is>
          <t>IS DS Dedicated Eng</t>
        </is>
      </c>
      <c r="D41" s="21" t="inlineStr">
        <is>
          <t>SDN Architect - 100154</t>
        </is>
      </c>
      <c r="E41" s="697" t="n">
        <v>139.84</v>
      </c>
      <c r="F41" s="700">
        <f>E41</f>
        <v/>
      </c>
      <c r="G41" t="inlineStr">
        <is>
          <t>Not found</t>
        </is>
      </c>
      <c r="H41" s="26">
        <f>F41-E41</f>
        <v/>
      </c>
      <c r="I41" s="75">
        <f>H41/E41</f>
        <v/>
      </c>
    </row>
    <row r="42">
      <c r="B42">
        <f>C42&amp;D42</f>
        <v/>
      </c>
      <c r="C42" s="72" t="inlineStr">
        <is>
          <t>IS DS Dedicated Eng</t>
        </is>
      </c>
      <c r="D42" s="21" t="inlineStr">
        <is>
          <t>Security.Sr Engineer - 100160</t>
        </is>
      </c>
      <c r="E42" s="697" t="n">
        <v>139.84</v>
      </c>
      <c r="F42" s="698">
        <f>VLOOKUP(B42,Input!B:J,9,0)</f>
        <v/>
      </c>
      <c r="H42" s="26">
        <f>F42-E42</f>
        <v/>
      </c>
      <c r="I42" s="75">
        <f>H42/E42</f>
        <v/>
      </c>
    </row>
    <row r="43">
      <c r="B43">
        <f>C43&amp;D43</f>
        <v/>
      </c>
      <c r="C43" s="72" t="inlineStr">
        <is>
          <t>IS DS Dedicated Eng</t>
        </is>
      </c>
      <c r="D43" s="21" t="inlineStr">
        <is>
          <t>Enterprise.Architect - 100108</t>
        </is>
      </c>
      <c r="E43" s="697" t="n">
        <v>145.25</v>
      </c>
      <c r="F43" s="700">
        <f>E43</f>
        <v/>
      </c>
      <c r="G43" t="inlineStr">
        <is>
          <t>Not found</t>
        </is>
      </c>
      <c r="H43" s="26">
        <f>F43-E43</f>
        <v/>
      </c>
      <c r="I43" s="75">
        <f>H43/E43</f>
        <v/>
      </c>
    </row>
    <row r="44">
      <c r="B44">
        <f>C44&amp;D44</f>
        <v/>
      </c>
      <c r="C44" s="72" t="inlineStr">
        <is>
          <t>IS DS Dedicated Eng</t>
        </is>
      </c>
      <c r="D44" s="21" t="inlineStr">
        <is>
          <t>Voice.Sr Engineer - 100178</t>
        </is>
      </c>
      <c r="E44" s="697" t="n">
        <v>134.32</v>
      </c>
      <c r="F44" s="700">
        <f>VLOOKUP(B44,Input!B:J,9,0)</f>
        <v/>
      </c>
      <c r="G44" t="inlineStr">
        <is>
          <t>Corrected the job code</t>
        </is>
      </c>
      <c r="H44" s="26">
        <f>F44-E44</f>
        <v/>
      </c>
      <c r="I44" s="75">
        <f>H44/E44</f>
        <v/>
      </c>
    </row>
    <row r="45">
      <c r="B45">
        <f>C45&amp;D45</f>
        <v/>
      </c>
      <c r="C45" s="72" t="inlineStr">
        <is>
          <t>IS DS Dedicated Eng</t>
        </is>
      </c>
      <c r="D45" s="21" t="inlineStr">
        <is>
          <t>Voice.Engineer - 100177</t>
        </is>
      </c>
      <c r="E45" s="697" t="n">
        <v>104.88</v>
      </c>
      <c r="F45" s="698">
        <f>VLOOKUP(B45,Input!B:J,9,0)</f>
        <v/>
      </c>
      <c r="H45" s="26">
        <f>F45-E45</f>
        <v/>
      </c>
      <c r="I45" s="75">
        <f>H45/E45</f>
        <v/>
      </c>
    </row>
    <row r="46">
      <c r="D46" s="21" t="n"/>
      <c r="E46" s="697" t="n"/>
      <c r="F46" s="698" t="n"/>
      <c r="H46" s="26" t="n"/>
      <c r="I46" s="75" t="n"/>
    </row>
    <row r="47">
      <c r="B47" s="79">
        <f>D47</f>
        <v/>
      </c>
      <c r="D47" s="21" t="inlineStr">
        <is>
          <t>IS DS Dedicated PMOProject Management.PgM - 100138</t>
        </is>
      </c>
      <c r="E47" s="697" t="n">
        <v>142.5</v>
      </c>
      <c r="F47" s="698">
        <f>VLOOKUP(B47,Input!B:J,9,0)</f>
        <v/>
      </c>
      <c r="H47" s="26">
        <f>F47-E47</f>
        <v/>
      </c>
      <c r="I47" s="75">
        <f>H47/E47</f>
        <v/>
      </c>
    </row>
    <row r="48">
      <c r="B48" s="79">
        <f>D48</f>
        <v/>
      </c>
      <c r="D48" s="21" t="inlineStr">
        <is>
          <t>IS DS Dedicated PMOProject Management.Sr PM - 100142</t>
        </is>
      </c>
      <c r="E48" s="697" t="n">
        <v>121.6</v>
      </c>
      <c r="F48" s="698">
        <f>VLOOKUP(B48,Input!B:J,9,0)</f>
        <v/>
      </c>
      <c r="H48" s="26">
        <f>F48-E48</f>
        <v/>
      </c>
      <c r="I48" s="75">
        <f>H48/E48</f>
        <v/>
      </c>
    </row>
    <row r="49">
      <c r="B49" s="79">
        <f>D49</f>
        <v/>
      </c>
      <c r="D49" s="21" t="inlineStr">
        <is>
          <t>IS DS Dedicated PMOProject Management.PM - 100139</t>
        </is>
      </c>
      <c r="E49" s="697" t="n">
        <v>87.40000000000001</v>
      </c>
      <c r="F49" s="698">
        <f>VLOOKUP(B49,Input!B:J,9,0)</f>
        <v/>
      </c>
      <c r="H49" s="26">
        <f>F49-E49</f>
        <v/>
      </c>
      <c r="I49" s="75">
        <f>H49/E49</f>
        <v/>
      </c>
    </row>
    <row r="50">
      <c r="B50" s="79">
        <f>D50</f>
        <v/>
      </c>
      <c r="D50" s="21" t="inlineStr">
        <is>
          <t>IS DS Dedicated PMOProject Management.Proj Coor - 100140</t>
        </is>
      </c>
      <c r="E50" s="697" t="n">
        <v>58.9</v>
      </c>
      <c r="F50" s="698">
        <f>VLOOKUP(B50,Input!B:J,9,0)</f>
        <v/>
      </c>
      <c r="H50" s="26">
        <f>F50-E50</f>
        <v/>
      </c>
      <c r="I50" s="75">
        <f>H50/E50</f>
        <v/>
      </c>
    </row>
    <row r="51">
      <c r="D51" s="21" t="n"/>
      <c r="E51" s="697" t="n"/>
      <c r="F51" s="698" t="n"/>
      <c r="H51" s="26" t="n"/>
      <c r="I51" s="75" t="n"/>
    </row>
    <row r="52">
      <c r="D52" s="21" t="n"/>
      <c r="E52" s="697" t="n"/>
      <c r="F52" s="698" t="n"/>
      <c r="H52" s="26" t="n"/>
      <c r="I52" s="75" t="n"/>
    </row>
    <row r="53">
      <c r="D53" s="21" t="n"/>
      <c r="E53" s="697" t="n"/>
      <c r="F53" s="698" t="n"/>
      <c r="H53" s="26" t="n"/>
      <c r="I53" s="75" t="n"/>
    </row>
    <row r="54">
      <c r="D54" s="21" t="n"/>
      <c r="E54" s="697" t="n"/>
      <c r="F54" s="698" t="n"/>
      <c r="H54" s="26" t="n"/>
      <c r="I54" s="75" t="n"/>
    </row>
    <row r="55">
      <c r="D55" s="21" t="n"/>
      <c r="E55" s="697" t="n"/>
      <c r="F55" s="698" t="n"/>
      <c r="H55" s="26" t="n"/>
      <c r="I55" s="75" t="n"/>
    </row>
    <row r="56">
      <c r="D56" s="46" t="inlineStr">
        <is>
          <t>**IS Program-Specific Dedicated Roles**</t>
        </is>
      </c>
      <c r="E56" s="697" t="n"/>
      <c r="F56" s="698" t="n"/>
      <c r="H56" s="26" t="n"/>
      <c r="I56" s="75" t="n"/>
    </row>
    <row r="57">
      <c r="B57">
        <f>C57&amp;D57</f>
        <v/>
      </c>
      <c r="C57" s="73" t="inlineStr">
        <is>
          <t>IS DS Kaiser Engr Dedicated</t>
        </is>
      </c>
      <c r="D57" s="21" t="inlineStr">
        <is>
          <t>Voice.Sr Engineer - 100178</t>
        </is>
      </c>
      <c r="E57" s="697" t="n">
        <v>129.21</v>
      </c>
      <c r="F57" s="698">
        <f>VLOOKUP(B57,Input!B:J,9,0)</f>
        <v/>
      </c>
      <c r="H57" s="26">
        <f>F57-E57</f>
        <v/>
      </c>
      <c r="I57" s="75">
        <f>H57/E57</f>
        <v/>
      </c>
    </row>
    <row r="58">
      <c r="D58" s="21" t="n"/>
      <c r="E58" s="697" t="n"/>
      <c r="F58" s="698" t="n"/>
      <c r="H58" s="26" t="n"/>
      <c r="I58" s="75" t="n"/>
    </row>
    <row r="59">
      <c r="B59">
        <f>C59&amp;D59</f>
        <v/>
      </c>
      <c r="C59" s="73" t="inlineStr">
        <is>
          <t>IS DS Fed HI/APAC Eng</t>
        </is>
      </c>
      <c r="D59" s="21" t="inlineStr">
        <is>
          <t>Wireless.Engineer - 100181</t>
        </is>
      </c>
      <c r="E59" s="697" t="n">
        <v>138</v>
      </c>
      <c r="F59" s="698">
        <f>VLOOKUP(B59,Input!B:J,9,0)</f>
        <v/>
      </c>
      <c r="H59" s="26">
        <f>F59-E59</f>
        <v/>
      </c>
      <c r="I59" s="75">
        <f>H59/E59</f>
        <v/>
      </c>
    </row>
    <row r="60">
      <c r="B60">
        <f>C60&amp;D60</f>
        <v/>
      </c>
      <c r="C60" s="73" t="inlineStr">
        <is>
          <t>IS DS Kaiser Prgm Eng</t>
        </is>
      </c>
      <c r="D60" s="21" t="inlineStr">
        <is>
          <t>R&amp;S.Engineer - 100152</t>
        </is>
      </c>
      <c r="E60" s="697" t="n">
        <v>126.5</v>
      </c>
      <c r="F60" s="698">
        <f>VLOOKUP(B60,Input!B:J,9,0)</f>
        <v/>
      </c>
      <c r="H60" s="26">
        <f>F60-E60</f>
        <v/>
      </c>
      <c r="I60" s="75">
        <f>H60/E60</f>
        <v/>
      </c>
    </row>
    <row r="61">
      <c r="B61">
        <f>C61&amp;D61</f>
        <v/>
      </c>
      <c r="C61" s="73" t="inlineStr">
        <is>
          <t>IS DS Kaiser Engr Dedicated</t>
        </is>
      </c>
      <c r="D61" s="21" t="inlineStr">
        <is>
          <t>R&amp;S.Engineer - 100152</t>
        </is>
      </c>
      <c r="E61" s="697" t="n">
        <v>97.34999999999999</v>
      </c>
      <c r="F61" s="698">
        <f>VLOOKUP(B61,Input!B:J,9,0)</f>
        <v/>
      </c>
      <c r="H61" s="26">
        <f>F61-E61</f>
        <v/>
      </c>
      <c r="I61" s="75">
        <f>H61/E61</f>
        <v/>
      </c>
    </row>
    <row r="62">
      <c r="B62">
        <f>C62&amp;D62</f>
        <v/>
      </c>
      <c r="C62" s="72" t="inlineStr">
        <is>
          <t>IS DS Kaiser Prgm Eng</t>
        </is>
      </c>
      <c r="D62" s="21" t="inlineStr">
        <is>
          <t>Voice.Sr Engineer - 100178</t>
        </is>
      </c>
      <c r="E62" s="697" t="n">
        <v>167.9</v>
      </c>
      <c r="F62" s="698">
        <f>VLOOKUP(B62,Input!B:J,9,0)</f>
        <v/>
      </c>
      <c r="H62" s="26">
        <f>F62-E62</f>
        <v/>
      </c>
      <c r="I62" s="75">
        <f>H62/E62</f>
        <v/>
      </c>
    </row>
    <row r="63">
      <c r="D63" s="21" t="n"/>
      <c r="E63" s="697" t="n"/>
      <c r="F63" s="698" t="n"/>
      <c r="H63" s="26" t="n"/>
      <c r="I63" s="75" t="n"/>
    </row>
    <row r="64">
      <c r="B64">
        <f>C64&amp;D64</f>
        <v/>
      </c>
      <c r="C64" s="73" t="inlineStr">
        <is>
          <t>IS DS Fed HI/APAC Eng</t>
        </is>
      </c>
      <c r="D64" s="21" t="inlineStr">
        <is>
          <t>Wireless.Engineer - 100181</t>
        </is>
      </c>
      <c r="E64" s="697" t="n">
        <v>138</v>
      </c>
      <c r="F64" s="698">
        <f>VLOOKUP(B64,Input!B:J,9,0)</f>
        <v/>
      </c>
      <c r="G64" t="inlineStr">
        <is>
          <t>Repeated in row 59</t>
        </is>
      </c>
      <c r="H64" s="26">
        <f>F64-E64</f>
        <v/>
      </c>
      <c r="I64" s="75">
        <f>H64/E64</f>
        <v/>
      </c>
    </row>
    <row r="65">
      <c r="B65">
        <f>C65&amp;D65</f>
        <v/>
      </c>
      <c r="C65" s="73" t="inlineStr">
        <is>
          <t>IS DS Kaiser PMO Dedicated</t>
        </is>
      </c>
      <c r="D65" s="21" t="inlineStr">
        <is>
          <t>Project Management.PgM - 100138</t>
        </is>
      </c>
      <c r="E65" s="697" t="n">
        <v>132.75</v>
      </c>
      <c r="F65" s="698">
        <f>VLOOKUP(B65,Input!B:J,9,0)</f>
        <v/>
      </c>
      <c r="H65" s="26">
        <f>F65-E65</f>
        <v/>
      </c>
      <c r="I65" s="75">
        <f>H65/E65</f>
        <v/>
      </c>
    </row>
    <row r="66">
      <c r="B66">
        <f>C66&amp;D66</f>
        <v/>
      </c>
      <c r="C66" s="72" t="inlineStr">
        <is>
          <t>IS DS Kaiser Prgm Eng</t>
        </is>
      </c>
      <c r="D66" s="21" t="inlineStr">
        <is>
          <t>Kaiser.Wireless.Technician Prgm Eng 100183</t>
        </is>
      </c>
      <c r="E66" s="697" t="n">
        <v>92</v>
      </c>
      <c r="F66" s="700">
        <f>E66</f>
        <v/>
      </c>
      <c r="G66" t="inlineStr">
        <is>
          <t>Not found</t>
        </is>
      </c>
      <c r="H66" s="26">
        <f>F66-E66</f>
        <v/>
      </c>
      <c r="I66" s="75">
        <f>H66/E66</f>
        <v/>
      </c>
    </row>
    <row r="67">
      <c r="B67">
        <f>C67&amp;D67</f>
        <v/>
      </c>
      <c r="C67" s="73" t="inlineStr">
        <is>
          <t>IS DS Kaiser PMO Dedicated</t>
        </is>
      </c>
      <c r="D67" s="21" t="inlineStr">
        <is>
          <t>Project Management.Sr PM - 100142</t>
        </is>
      </c>
      <c r="E67" s="697" t="n">
        <v>113.28</v>
      </c>
      <c r="F67" s="698">
        <f>VLOOKUP(B67,Input!B:J,9,0)</f>
        <v/>
      </c>
      <c r="H67" s="26">
        <f>F67-E67</f>
        <v/>
      </c>
      <c r="I67" s="75">
        <f>H67/E67</f>
        <v/>
      </c>
    </row>
    <row r="68">
      <c r="D68" s="21" t="n"/>
      <c r="E68" s="697" t="n"/>
      <c r="F68" s="698" t="n"/>
      <c r="H68" s="26" t="n"/>
      <c r="I68" s="75" t="n"/>
    </row>
    <row r="69">
      <c r="B69">
        <f>C69&amp;D69</f>
        <v/>
      </c>
      <c r="C69" s="73" t="inlineStr">
        <is>
          <t>IS DS Kaiser PMO Dedicated</t>
        </is>
      </c>
      <c r="D69" s="21" t="inlineStr">
        <is>
          <t>Project Management.PM - 100139</t>
        </is>
      </c>
      <c r="E69" s="697" t="n">
        <v>81.42</v>
      </c>
      <c r="F69" s="698">
        <f>VLOOKUP(B69,Input!B:J,9,0)</f>
        <v/>
      </c>
      <c r="H69" s="26">
        <f>F69-E69</f>
        <v/>
      </c>
      <c r="I69" s="75">
        <f>H69/E69</f>
        <v/>
      </c>
    </row>
    <row r="70">
      <c r="B70">
        <f>C70&amp;D70</f>
        <v/>
      </c>
      <c r="C70" s="72" t="inlineStr">
        <is>
          <t>IS DS Kaiser Prgm PMO</t>
        </is>
      </c>
      <c r="D70" s="21" t="inlineStr">
        <is>
          <t>Project Management.PM - 100139</t>
        </is>
      </c>
      <c r="E70" s="697" t="n">
        <v>105.34</v>
      </c>
      <c r="F70" s="698">
        <f>VLOOKUP(B70,Input!B:J,9,0)</f>
        <v/>
      </c>
      <c r="H70" s="26">
        <f>F70-E70</f>
        <v/>
      </c>
      <c r="I70" s="75">
        <f>H70/E70</f>
        <v/>
      </c>
    </row>
    <row r="71">
      <c r="B71">
        <f>C71&amp;D71</f>
        <v/>
      </c>
      <c r="C71" s="73" t="inlineStr">
        <is>
          <t>IS DS Kaiser Engr Dedicated</t>
        </is>
      </c>
      <c r="D71" s="21" t="inlineStr">
        <is>
          <t>R&amp;S.Sr Engineer - 100153</t>
        </is>
      </c>
      <c r="E71" s="697" t="n">
        <v>174.8</v>
      </c>
      <c r="F71" s="698">
        <f>VLOOKUP(B71,Input!B:J,9,0)</f>
        <v/>
      </c>
      <c r="H71" s="26">
        <f>F71-E71</f>
        <v/>
      </c>
      <c r="I71" s="75">
        <f>H71/E71</f>
        <v/>
      </c>
    </row>
    <row r="72">
      <c r="D72" s="21" t="n"/>
      <c r="E72" s="697" t="n"/>
      <c r="F72" s="698" t="n"/>
      <c r="H72" s="26" t="n"/>
      <c r="I72" s="75" t="n"/>
    </row>
    <row r="73">
      <c r="D73" s="21" t="n"/>
      <c r="E73" s="697" t="n"/>
      <c r="F73" s="698" t="n"/>
      <c r="H73" s="26" t="n"/>
      <c r="I73" s="75" t="n"/>
    </row>
    <row r="74">
      <c r="D74" s="21" t="n"/>
      <c r="E74" s="697" t="n"/>
      <c r="F74" s="698" t="n"/>
      <c r="H74" s="26" t="n"/>
      <c r="I74" s="75" t="n"/>
    </row>
    <row r="75">
      <c r="B75">
        <f>C75&amp;D75</f>
        <v/>
      </c>
      <c r="C75" s="73" t="inlineStr">
        <is>
          <t>IS DS Dedicated Eng</t>
        </is>
      </c>
      <c r="D75" s="21" t="inlineStr">
        <is>
          <t>R&amp;S.Engineer - 100152</t>
        </is>
      </c>
      <c r="E75" s="697" t="n">
        <v>101.2</v>
      </c>
      <c r="F75" s="698">
        <f>VLOOKUP(B75,Input!B:J,9,0)</f>
        <v/>
      </c>
      <c r="H75" s="26">
        <f>F75-E75</f>
        <v/>
      </c>
      <c r="I75" s="75">
        <f>H75/E75</f>
        <v/>
      </c>
    </row>
    <row r="76">
      <c r="D76" s="21" t="n"/>
      <c r="E76" s="697" t="n"/>
      <c r="F76" s="698" t="n"/>
      <c r="H76" s="26" t="n"/>
      <c r="I76" s="75" t="n"/>
    </row>
    <row r="77">
      <c r="D77" s="21" t="n"/>
      <c r="E77" s="697" t="n"/>
      <c r="F77" s="698" t="n"/>
      <c r="H77" s="26" t="n"/>
      <c r="I77" s="75" t="n"/>
    </row>
    <row r="78">
      <c r="D78" s="46" t="inlineStr">
        <is>
          <t>***IS DS CommonSpirit PMO</t>
        </is>
      </c>
      <c r="E78" s="697" t="n"/>
      <c r="F78" s="698" t="n"/>
      <c r="H78" s="26" t="n"/>
      <c r="I78" s="75" t="n"/>
    </row>
    <row r="79">
      <c r="B79">
        <f>C79&amp;D79</f>
        <v/>
      </c>
      <c r="C79" s="72" t="inlineStr">
        <is>
          <t>IS DS Dedicated PMO</t>
        </is>
      </c>
      <c r="D79" s="21" t="inlineStr">
        <is>
          <t>Project Management.Sr PM - 100142</t>
        </is>
      </c>
      <c r="E79" s="697" t="n">
        <v>120.32</v>
      </c>
      <c r="F79" s="698">
        <f>VLOOKUP(B79,Input!B:J,9,0)</f>
        <v/>
      </c>
      <c r="H79" s="26">
        <f>F79-E79</f>
        <v/>
      </c>
      <c r="I79" s="75">
        <f>H79/E79</f>
        <v/>
      </c>
    </row>
    <row r="80">
      <c r="B80">
        <f>C80&amp;D80</f>
        <v/>
      </c>
      <c r="C80" s="73" t="inlineStr">
        <is>
          <t>IS DS CommonSpirit PMO</t>
        </is>
      </c>
      <c r="D80" s="21" t="inlineStr">
        <is>
          <t>Project Management.PgM - 100138</t>
        </is>
      </c>
      <c r="E80" s="697" t="n">
        <v>141</v>
      </c>
      <c r="F80" s="698">
        <f>VLOOKUP(B80,Input!B:J,9,0)</f>
        <v/>
      </c>
      <c r="H80" s="26">
        <f>F80-E80</f>
        <v/>
      </c>
      <c r="I80" s="75">
        <f>H80/E80</f>
        <v/>
      </c>
    </row>
    <row r="81">
      <c r="B81">
        <f>C81&amp;D81</f>
        <v/>
      </c>
      <c r="C81" s="72" t="inlineStr">
        <is>
          <t>IS DS PMO</t>
        </is>
      </c>
      <c r="D81" s="21" t="inlineStr">
        <is>
          <t>Project Management.Proj Coor - 100140</t>
        </is>
      </c>
      <c r="E81" s="697" t="n">
        <v>58.28</v>
      </c>
      <c r="F81" s="698">
        <f>VLOOKUP(B81,Input!B:J,9,0)</f>
        <v/>
      </c>
      <c r="H81" s="26">
        <f>F81-E81</f>
        <v/>
      </c>
      <c r="I81" s="75">
        <f>H81/E81</f>
        <v/>
      </c>
    </row>
    <row r="82">
      <c r="B82">
        <f>C82&amp;D82</f>
        <v/>
      </c>
      <c r="C82" s="72" t="inlineStr">
        <is>
          <t>IS DS PMO</t>
        </is>
      </c>
      <c r="D82" s="21" t="inlineStr">
        <is>
          <t>Project Management.PM - 100139</t>
        </is>
      </c>
      <c r="E82" s="697" t="n">
        <v>86.48</v>
      </c>
      <c r="F82" s="698">
        <f>VLOOKUP(B82,Input!B:J,9,0)</f>
        <v/>
      </c>
      <c r="H82" s="26">
        <f>F82-E82</f>
        <v/>
      </c>
      <c r="I82" s="75">
        <f>H82/E82</f>
        <v/>
      </c>
    </row>
    <row r="83">
      <c r="D83" s="46" t="n"/>
      <c r="E83" s="697" t="n"/>
      <c r="F83" s="698" t="n"/>
      <c r="H83" s="26" t="n"/>
      <c r="I83" s="75" t="n"/>
    </row>
    <row r="84">
      <c r="D84" s="21" t="n"/>
      <c r="E84" s="697" t="n"/>
      <c r="F84" s="698" t="n"/>
      <c r="H84" s="26" t="n"/>
      <c r="I84" s="75" t="n"/>
    </row>
    <row r="85">
      <c r="D85" s="21" t="n"/>
      <c r="E85" s="697" t="n"/>
      <c r="F85" s="698" t="n"/>
      <c r="H85" s="26" t="n"/>
      <c r="I85" s="75" t="n"/>
    </row>
    <row r="86">
      <c r="D86" s="46" t="inlineStr">
        <is>
          <t>**IS DS Domain Architects**</t>
        </is>
      </c>
      <c r="E86" s="697" t="n"/>
      <c r="F86" s="698" t="n"/>
      <c r="H86" s="26" t="n"/>
      <c r="I86" s="75" t="n"/>
    </row>
    <row r="87">
      <c r="B87">
        <f>C87&amp;D87</f>
        <v/>
      </c>
      <c r="C87" s="72" t="inlineStr">
        <is>
          <t>IS DS Domain Architects</t>
        </is>
      </c>
      <c r="D87" s="21" t="inlineStr">
        <is>
          <t>Data Center.Architect - 100080</t>
        </is>
      </c>
      <c r="E87" s="697" t="n">
        <v>202.54</v>
      </c>
      <c r="F87" s="698">
        <f>VLOOKUP(B87,Input!B:J,9,0)</f>
        <v/>
      </c>
      <c r="H87" s="26">
        <f>F87-E87</f>
        <v/>
      </c>
      <c r="I87" s="75">
        <f>H87/E87</f>
        <v/>
      </c>
    </row>
    <row r="88">
      <c r="B88">
        <f>C88&amp;D88</f>
        <v/>
      </c>
      <c r="C88" s="72" t="inlineStr">
        <is>
          <t>IS DS Domain Architects</t>
        </is>
      </c>
      <c r="D88" s="21" t="inlineStr">
        <is>
          <t>Enterprise.Architect - 100108</t>
        </is>
      </c>
      <c r="E88" s="697" t="n">
        <v>205.01</v>
      </c>
      <c r="F88" s="700">
        <f>E88</f>
        <v/>
      </c>
      <c r="G88" t="inlineStr">
        <is>
          <t>Not found</t>
        </is>
      </c>
      <c r="H88" s="26">
        <f>F88-E88</f>
        <v/>
      </c>
      <c r="I88" s="75">
        <f>H88/E88</f>
        <v/>
      </c>
    </row>
    <row r="89">
      <c r="B89">
        <f>C89&amp;D89</f>
        <v/>
      </c>
      <c r="C89" s="72" t="inlineStr">
        <is>
          <t>IS DS Domain Architects</t>
        </is>
      </c>
      <c r="D89" s="21" t="inlineStr">
        <is>
          <t>R&amp;S.Architect - 100151</t>
        </is>
      </c>
      <c r="E89" s="697" t="n">
        <v>207.48</v>
      </c>
      <c r="F89" s="698">
        <f>VLOOKUP(B89,Input!B:J,9,0)</f>
        <v/>
      </c>
      <c r="H89" s="26">
        <f>F89-E89</f>
        <v/>
      </c>
      <c r="I89" s="75">
        <f>H89/E89</f>
        <v/>
      </c>
    </row>
    <row r="90">
      <c r="B90">
        <f>C90&amp;D90</f>
        <v/>
      </c>
      <c r="C90" s="72" t="inlineStr">
        <is>
          <t>IS DS Automation</t>
        </is>
      </c>
      <c r="D90" s="21" t="inlineStr">
        <is>
          <t>Automation.Architect - 100262</t>
        </is>
      </c>
      <c r="E90" s="697" t="n">
        <v>222.3</v>
      </c>
      <c r="F90" s="698">
        <f>VLOOKUP(B90,Input!B:J,9,0)</f>
        <v/>
      </c>
      <c r="H90" s="26">
        <f>F90-E90</f>
        <v/>
      </c>
      <c r="I90" s="75">
        <f>H90/E90</f>
        <v/>
      </c>
    </row>
    <row r="91">
      <c r="D91" s="21" t="n"/>
      <c r="E91" s="697" t="n"/>
      <c r="F91" s="698" t="n"/>
      <c r="H91" s="26" t="n"/>
      <c r="I91" s="75" t="n"/>
    </row>
    <row r="92">
      <c r="B92">
        <f>C92&amp;D92</f>
        <v/>
      </c>
      <c r="C92" s="72" t="inlineStr">
        <is>
          <t>IS DS Domain Architects</t>
        </is>
      </c>
      <c r="D92" s="21" t="inlineStr">
        <is>
          <t>Security.Architect - 100155</t>
        </is>
      </c>
      <c r="E92" s="697" t="n">
        <v>195.13</v>
      </c>
      <c r="F92" s="698">
        <f>VLOOKUP(B92,Input!B:J,9,0)</f>
        <v/>
      </c>
      <c r="H92" s="26">
        <f>F92-E92</f>
        <v/>
      </c>
      <c r="I92" s="75">
        <f>H92/E92</f>
        <v/>
      </c>
    </row>
    <row r="93">
      <c r="B93">
        <f>C93&amp;D93</f>
        <v/>
      </c>
      <c r="C93" s="73" t="inlineStr">
        <is>
          <t>IS DS Engineering</t>
        </is>
      </c>
      <c r="D93" s="21" t="inlineStr">
        <is>
          <t>Voice.Sr Engineer UCCE - 100179</t>
        </is>
      </c>
      <c r="E93" s="697" t="n">
        <v>212.42</v>
      </c>
      <c r="F93" s="698">
        <f>VLOOKUP(B93,Input!B:J,9,0)</f>
        <v/>
      </c>
      <c r="H93" s="26">
        <f>F93-E93</f>
        <v/>
      </c>
      <c r="I93" s="75">
        <f>H93/E93</f>
        <v/>
      </c>
    </row>
    <row r="94">
      <c r="B94">
        <f>C94&amp;D94</f>
        <v/>
      </c>
      <c r="C94" s="72" t="inlineStr">
        <is>
          <t>IS DS Domain Architects</t>
        </is>
      </c>
      <c r="D94" s="21" t="inlineStr">
        <is>
          <t>Optical.Architect - 100282</t>
        </is>
      </c>
      <c r="E94" s="697" t="n">
        <v>174.47</v>
      </c>
      <c r="F94" s="698">
        <f>VLOOKUP(B94,Input!B:J,9,0)</f>
        <v/>
      </c>
      <c r="H94" s="26">
        <f>F94-E94</f>
        <v/>
      </c>
      <c r="I94" s="75">
        <f>H94/E94</f>
        <v/>
      </c>
    </row>
    <row r="95">
      <c r="B95">
        <f>C95&amp;D95</f>
        <v/>
      </c>
      <c r="C95" s="72" t="inlineStr">
        <is>
          <t>IS DS Domain Architects</t>
        </is>
      </c>
      <c r="D95" s="21" t="inlineStr">
        <is>
          <t>Voice.Architect - 100176</t>
        </is>
      </c>
      <c r="E95" s="697" t="n">
        <v>182.25</v>
      </c>
      <c r="F95" s="698">
        <f>VLOOKUP(B95,Input!B:J,9,0)</f>
        <v/>
      </c>
      <c r="H95" s="26">
        <f>F95-E95</f>
        <v/>
      </c>
      <c r="I95" s="75">
        <f>H95/E95</f>
        <v/>
      </c>
    </row>
    <row r="97">
      <c r="D97" s="46" t="inlineStr">
        <is>
          <t>**Business &amp; Analytics Advisors**</t>
        </is>
      </c>
      <c r="E97" s="697" t="n"/>
      <c r="F97" s="698" t="n"/>
      <c r="H97" s="26" t="n"/>
      <c r="I97" s="75" t="n"/>
    </row>
    <row r="98">
      <c r="B98" s="79">
        <f>D98</f>
        <v/>
      </c>
      <c r="C98" s="73" t="inlineStr">
        <is>
          <t>CS BAA Business Development</t>
        </is>
      </c>
      <c r="D98" s="21" t="inlineStr">
        <is>
          <t>CS BAA Business DevelopmentBAA.Analyst - 100030</t>
        </is>
      </c>
      <c r="E98" s="697" t="n">
        <v>94.47</v>
      </c>
      <c r="F98" s="698">
        <f>VLOOKUP(B98,Input!B:J,9,0)</f>
        <v/>
      </c>
      <c r="G98" t="inlineStr">
        <is>
          <t>Job code is corrected</t>
        </is>
      </c>
      <c r="H98" s="26">
        <f>F98-E98</f>
        <v/>
      </c>
      <c r="I98" s="75">
        <f>H98/E98</f>
        <v/>
      </c>
    </row>
    <row r="99">
      <c r="B99">
        <f>C99&amp;D99</f>
        <v/>
      </c>
      <c r="C99" s="72" t="inlineStr">
        <is>
          <t>CS BAA Engagement Mgt</t>
        </is>
      </c>
      <c r="D99" s="21" t="inlineStr">
        <is>
          <t>CS BAA Buisness DevelopmentBAA Engagement Manager - 100033</t>
        </is>
      </c>
      <c r="E99" s="697" t="n">
        <v>190.95</v>
      </c>
      <c r="F99" s="700">
        <f>E99</f>
        <v/>
      </c>
      <c r="G99" t="inlineStr">
        <is>
          <t>Not found</t>
        </is>
      </c>
      <c r="H99" s="26">
        <f>F99-E99</f>
        <v/>
      </c>
      <c r="I99" s="75">
        <f>H99/E99</f>
        <v/>
      </c>
    </row>
    <row r="100">
      <c r="B100">
        <f>C100&amp;D100</f>
        <v/>
      </c>
      <c r="C100" s="73" t="inlineStr">
        <is>
          <t>CS BAA Business Development</t>
        </is>
      </c>
      <c r="D100" s="21" t="inlineStr">
        <is>
          <t>BAA.Managing Director - 100035</t>
        </is>
      </c>
      <c r="E100" s="697" t="n">
        <v>243.21</v>
      </c>
      <c r="F100" s="698">
        <f>VLOOKUP(B100,Input!B:J,9,0)</f>
        <v/>
      </c>
      <c r="H100" s="26">
        <f>F100-E100</f>
        <v/>
      </c>
      <c r="I100" s="75">
        <f>H100/E100</f>
        <v/>
      </c>
    </row>
    <row r="101">
      <c r="B101">
        <f>C101&amp;D101</f>
        <v/>
      </c>
      <c r="C101" s="73" t="inlineStr">
        <is>
          <t>CS BAA Consultants</t>
        </is>
      </c>
      <c r="D101" s="21" t="inlineStr">
        <is>
          <t>BAA.Analyst - 100030</t>
        </is>
      </c>
      <c r="E101" s="697" t="n">
        <v>98.23</v>
      </c>
      <c r="F101" s="698">
        <f>VLOOKUP(B101,Input!B:J,9,0)</f>
        <v/>
      </c>
      <c r="H101" s="26">
        <f>F101-E101</f>
        <v/>
      </c>
      <c r="I101" s="75">
        <f>H101/E101</f>
        <v/>
      </c>
    </row>
    <row r="102">
      <c r="B102">
        <f>C102&amp;D102</f>
        <v/>
      </c>
      <c r="C102" s="73" t="inlineStr">
        <is>
          <t>CS BAA Consultants</t>
        </is>
      </c>
      <c r="D102" s="21" t="inlineStr">
        <is>
          <t>BAA.Consultant - 100031</t>
        </is>
      </c>
      <c r="E102" s="697" t="n">
        <v>131.67</v>
      </c>
      <c r="F102" s="698">
        <f>VLOOKUP(B102,Input!B:J,9,0)</f>
        <v/>
      </c>
      <c r="H102" s="26">
        <f>F102-E102</f>
        <v/>
      </c>
      <c r="I102" s="75">
        <f>H102/E102</f>
        <v/>
      </c>
    </row>
    <row r="103">
      <c r="B103">
        <f>C103&amp;D103</f>
        <v/>
      </c>
      <c r="C103" s="73" t="inlineStr">
        <is>
          <t>CS BAA Consultants</t>
        </is>
      </c>
      <c r="D103" s="21" t="inlineStr">
        <is>
          <t>BAA.Data Scientist - 100032</t>
        </is>
      </c>
      <c r="E103" s="697" t="n">
        <v>125.4</v>
      </c>
      <c r="F103" s="698">
        <f>VLOOKUP(B103,Input!B:J,9,0)</f>
        <v/>
      </c>
      <c r="H103" s="26">
        <f>F103-E103</f>
        <v/>
      </c>
      <c r="I103" s="75">
        <f>H103/E103</f>
        <v/>
      </c>
    </row>
    <row r="104">
      <c r="B104">
        <f>C104&amp;D104</f>
        <v/>
      </c>
      <c r="C104" s="72" t="inlineStr">
        <is>
          <t>CS BAA Engagement Mgt</t>
        </is>
      </c>
      <c r="D104" s="21" t="inlineStr">
        <is>
          <t>BAA.Engagement Manager - 100033</t>
        </is>
      </c>
      <c r="E104" s="697" t="n">
        <v>201.4</v>
      </c>
      <c r="F104" s="698">
        <f>VLOOKUP(B104,Input!B:J,9,0)</f>
        <v/>
      </c>
      <c r="H104" s="26">
        <f>F104-E104</f>
        <v/>
      </c>
      <c r="I104" s="75">
        <f>H104/E104</f>
        <v/>
      </c>
    </row>
    <row r="105">
      <c r="D105" s="21" t="n"/>
      <c r="E105" s="697" t="n"/>
      <c r="F105" s="698" t="n"/>
      <c r="H105" s="26" t="n"/>
      <c r="I105" s="75" t="n"/>
    </row>
    <row r="106">
      <c r="B106">
        <f>C106&amp;D106</f>
        <v/>
      </c>
      <c r="D106" s="21" t="inlineStr">
        <is>
          <t>CS Cloud.Business Development - 100275</t>
        </is>
      </c>
      <c r="E106" s="697" t="n">
        <v>162</v>
      </c>
      <c r="F106" s="700">
        <f>E106</f>
        <v/>
      </c>
      <c r="G106" t="inlineStr">
        <is>
          <t>Not found</t>
        </is>
      </c>
      <c r="H106" s="26">
        <f>F106-E106</f>
        <v/>
      </c>
      <c r="I106" s="75">
        <f>H106/E106</f>
        <v/>
      </c>
    </row>
    <row r="107">
      <c r="B107">
        <f>C107&amp;D107</f>
        <v/>
      </c>
      <c r="D107" s="21" t="inlineStr">
        <is>
          <t>CS Cloud.Consultant Dedicated - 100049</t>
        </is>
      </c>
      <c r="E107" s="697" t="n">
        <v>150.23</v>
      </c>
      <c r="F107" s="700">
        <f>E107</f>
        <v/>
      </c>
      <c r="G107" t="inlineStr">
        <is>
          <t>Not found</t>
        </is>
      </c>
      <c r="H107" s="26">
        <f>F107-E107</f>
        <v/>
      </c>
      <c r="I107" s="75">
        <f>H107/E107</f>
        <v/>
      </c>
    </row>
    <row r="108">
      <c r="B108">
        <f>C108&amp;D108</f>
        <v/>
      </c>
      <c r="C108" s="72" t="inlineStr">
        <is>
          <t>CS Cloud Transition Overhead</t>
        </is>
      </c>
      <c r="D108" s="21" t="inlineStr">
        <is>
          <t>Cloud.Management - 100052</t>
        </is>
      </c>
      <c r="E108" s="697" t="n">
        <v>198</v>
      </c>
      <c r="F108" s="698">
        <f>VLOOKUP(B108,Input!B:J,9,0)</f>
        <v/>
      </c>
      <c r="H108" s="26">
        <f>F108-E108</f>
        <v/>
      </c>
      <c r="I108" s="75">
        <f>H108/E108</f>
        <v/>
      </c>
    </row>
    <row r="109">
      <c r="B109">
        <f>C109&amp;D109</f>
        <v/>
      </c>
      <c r="C109" s="72" t="inlineStr">
        <is>
          <t>CS Cloud Transition Billable</t>
        </is>
      </c>
      <c r="D109" s="21" t="inlineStr">
        <is>
          <t>Cloud.PlatformArchitect - 100053</t>
        </is>
      </c>
      <c r="E109" s="697" t="n">
        <v>185.65</v>
      </c>
      <c r="F109" s="698">
        <f>VLOOKUP(B109,Input!B:J,9,0)</f>
        <v/>
      </c>
      <c r="H109" s="26">
        <f>F109-E109</f>
        <v/>
      </c>
      <c r="I109" s="75">
        <f>H109/E109</f>
        <v/>
      </c>
    </row>
    <row r="110">
      <c r="B110">
        <f>C110&amp;D110</f>
        <v/>
      </c>
      <c r="C110" s="72" t="inlineStr">
        <is>
          <t>CS Cloud Transition Overhead</t>
        </is>
      </c>
      <c r="D110" s="21" t="inlineStr">
        <is>
          <t>Cloud.Practice Lead - 100278</t>
        </is>
      </c>
      <c r="E110" s="697" t="n">
        <v>195.05</v>
      </c>
      <c r="F110" s="698">
        <f>VLOOKUP(B110,Input!B:J,9,0)</f>
        <v/>
      </c>
      <c r="H110" s="26">
        <f>F110-E110</f>
        <v/>
      </c>
      <c r="I110" s="75">
        <f>H110/E110</f>
        <v/>
      </c>
    </row>
    <row r="111">
      <c r="B111">
        <f>C111&amp;D111</f>
        <v/>
      </c>
      <c r="C111" s="73" t="inlineStr">
        <is>
          <t>CS Cloud Solutions Architects</t>
        </is>
      </c>
      <c r="D111" s="21" t="inlineStr">
        <is>
          <t>Cloud.Solutions Architect - 100276</t>
        </is>
      </c>
      <c r="E111" s="697" t="n">
        <v>180.95</v>
      </c>
      <c r="F111" s="698">
        <f>VLOOKUP(B111,Input!B:J,9,0)</f>
        <v/>
      </c>
      <c r="H111" s="26">
        <f>F111-E111</f>
        <v/>
      </c>
      <c r="I111" s="75">
        <f>H111/E111</f>
        <v/>
      </c>
    </row>
    <row r="117">
      <c r="D117" s="46" t="inlineStr">
        <is>
          <t>**PS Emerging Services**</t>
        </is>
      </c>
      <c r="E117" s="697" t="n"/>
      <c r="F117" s="698" t="n"/>
      <c r="H117" s="26" t="n"/>
      <c r="I117" s="75" t="n"/>
    </row>
    <row r="118">
      <c r="D118" s="21" t="inlineStr">
        <is>
          <t>Check with ES team; verify in Tableau or Reference&gt;Finance&gt;Burdened Rates</t>
        </is>
      </c>
      <c r="E118" s="697" t="n"/>
      <c r="F118" s="698" t="n"/>
      <c r="H118" s="26" t="n"/>
      <c r="I118" s="75" t="n"/>
    </row>
    <row r="119">
      <c r="D119" s="21" t="n"/>
      <c r="E119" s="697" t="n"/>
      <c r="F119" s="698" t="n"/>
      <c r="H119" s="26" t="n"/>
      <c r="I119" s="75" t="n"/>
    </row>
    <row r="120">
      <c r="B120" s="79">
        <f>D120</f>
        <v/>
      </c>
      <c r="C120" s="72" t="inlineStr">
        <is>
          <t>CS BAA Technical</t>
        </is>
      </c>
      <c r="D120" s="21" t="inlineStr">
        <is>
          <t>CS BAA TechnicalBAA.Engineer - 100034</t>
        </is>
      </c>
      <c r="E120" s="697" t="n">
        <v>149.25</v>
      </c>
      <c r="F120" s="698">
        <f>VLOOKUP(B120,Input!B:J,9,0)</f>
        <v/>
      </c>
      <c r="H120" s="26">
        <f>F120-E120</f>
        <v/>
      </c>
      <c r="I120" s="75">
        <f>H120/E120</f>
        <v/>
      </c>
    </row>
    <row r="121">
      <c r="B121" s="79">
        <f>D121</f>
        <v/>
      </c>
      <c r="C121" s="72" t="inlineStr">
        <is>
          <t>CS BAA Technical</t>
        </is>
      </c>
      <c r="D121" s="21" t="inlineStr">
        <is>
          <t>CS BAA TechnicalBAA.Sr Engineer - 100036</t>
        </is>
      </c>
      <c r="E121" s="697" t="n">
        <v>252.73</v>
      </c>
      <c r="F121" s="698">
        <f>VLOOKUP(B121,Input!B:J,9,0)</f>
        <v/>
      </c>
      <c r="H121" s="26">
        <f>F121-E121</f>
        <v/>
      </c>
      <c r="I121" s="75">
        <f>H121/E121</f>
        <v/>
      </c>
    </row>
    <row r="122">
      <c r="D122" s="46" t="inlineStr">
        <is>
          <t xml:space="preserve">**IS DS Strategic Pgm Mgmt** </t>
        </is>
      </c>
      <c r="E122" s="697" t="n"/>
      <c r="F122" s="698" t="n"/>
      <c r="H122" s="26" t="n"/>
      <c r="I122" s="75" t="n"/>
    </row>
    <row r="123">
      <c r="B123">
        <f>C123&amp;D123</f>
        <v/>
      </c>
      <c r="C123" s="73" t="inlineStr">
        <is>
          <t>IS DS Strategic Pgm Mgmt</t>
        </is>
      </c>
      <c r="D123" s="21" t="inlineStr">
        <is>
          <t>Project Management.PgM - 100138</t>
        </is>
      </c>
      <c r="E123" s="697" t="n">
        <v>142.5</v>
      </c>
      <c r="F123" s="698">
        <f>VLOOKUP(B123,Input!B:J,9,0)</f>
        <v/>
      </c>
      <c r="H123" s="26">
        <f>F123-E123</f>
        <v/>
      </c>
      <c r="I123" s="75">
        <f>H123/E123</f>
        <v/>
      </c>
    </row>
    <row r="124">
      <c r="B124">
        <f>C124&amp;D124</f>
        <v/>
      </c>
      <c r="C124" s="73" t="inlineStr">
        <is>
          <t>IS DS Strategic Pgm Mgmt</t>
        </is>
      </c>
      <c r="D124" s="21" t="inlineStr">
        <is>
          <t>Project Management.Sr PM - 100142</t>
        </is>
      </c>
      <c r="E124" s="697" t="n">
        <v>121.6</v>
      </c>
      <c r="F124" s="698">
        <f>VLOOKUP(B124,Input!B:J,9,0)</f>
        <v/>
      </c>
      <c r="H124" s="26">
        <f>F124-E124</f>
        <v/>
      </c>
      <c r="I124" s="75">
        <f>H124/E124</f>
        <v/>
      </c>
    </row>
    <row r="125">
      <c r="B125">
        <f>C125&amp;D125</f>
        <v/>
      </c>
      <c r="C125" s="73" t="inlineStr">
        <is>
          <t>IS DS Strategic Pgm Mgmt</t>
        </is>
      </c>
      <c r="D125" s="21" t="inlineStr">
        <is>
          <t>Project Management.Program Director - 100238</t>
        </is>
      </c>
      <c r="E125" s="697" t="n">
        <v>191.9</v>
      </c>
      <c r="F125" s="698">
        <f>VLOOKUP(B125,Input!B:J,9,0)</f>
        <v/>
      </c>
      <c r="H125" s="26">
        <f>F125-E125</f>
        <v/>
      </c>
      <c r="I125" s="75">
        <f>H125/E125</f>
        <v/>
      </c>
    </row>
    <row r="126">
      <c r="D126" s="21" t="n"/>
      <c r="E126" s="697" t="n"/>
      <c r="F126" s="698" t="n"/>
      <c r="H126" s="26" t="n"/>
      <c r="I126" s="75" t="n"/>
    </row>
    <row r="127">
      <c r="D127" s="46" t="inlineStr">
        <is>
          <t>** IS DS PMO**</t>
        </is>
      </c>
      <c r="E127" s="697" t="n"/>
      <c r="F127" s="698" t="n"/>
      <c r="H127" s="26" t="n"/>
      <c r="I127" s="75" t="n"/>
    </row>
    <row r="128">
      <c r="B128">
        <f>C128&amp;D128</f>
        <v/>
      </c>
      <c r="C128" s="72" t="inlineStr">
        <is>
          <t>IS DS PMO</t>
        </is>
      </c>
      <c r="D128" s="21" t="inlineStr">
        <is>
          <t>Project Management.PgM - 100138</t>
        </is>
      </c>
      <c r="E128" s="697" t="n">
        <v>185.25</v>
      </c>
      <c r="F128" s="698">
        <f>VLOOKUP(B128,Input!B:J,9,0)</f>
        <v/>
      </c>
      <c r="H128" s="26">
        <f>F128-E128</f>
        <v/>
      </c>
      <c r="I128" s="75">
        <f>H128/E128</f>
        <v/>
      </c>
    </row>
    <row r="129">
      <c r="B129">
        <f>C129&amp;D129</f>
        <v/>
      </c>
      <c r="C129" s="72" t="inlineStr">
        <is>
          <t>IS DS PMO</t>
        </is>
      </c>
      <c r="D129" s="21" t="inlineStr">
        <is>
          <t>Project Management.Sr PM - 100142</t>
        </is>
      </c>
      <c r="E129" s="697" t="n">
        <v>158.08</v>
      </c>
      <c r="F129" s="698">
        <f>VLOOKUP(B129,Input!B:J,9,0)</f>
        <v/>
      </c>
      <c r="H129" s="26">
        <f>F129-E129</f>
        <v/>
      </c>
      <c r="I129" s="75">
        <f>H129/E129</f>
        <v/>
      </c>
    </row>
    <row r="130">
      <c r="B130">
        <f>C130&amp;D130</f>
        <v/>
      </c>
      <c r="C130" s="72" t="inlineStr">
        <is>
          <t>IS DS PMO</t>
        </is>
      </c>
      <c r="D130" s="21" t="inlineStr">
        <is>
          <t>Project Management.PM - 100139</t>
        </is>
      </c>
      <c r="E130" s="697" t="n">
        <v>113.62</v>
      </c>
      <c r="F130" s="698">
        <f>VLOOKUP(B130,Input!B:J,9,0)</f>
        <v/>
      </c>
      <c r="H130" s="26">
        <f>F130-E130</f>
        <v/>
      </c>
      <c r="I130" s="75">
        <f>H130/E130</f>
        <v/>
      </c>
    </row>
    <row r="131">
      <c r="B131">
        <f>C131&amp;D131</f>
        <v/>
      </c>
      <c r="C131" s="72" t="inlineStr">
        <is>
          <t>IS DS PMO</t>
        </is>
      </c>
      <c r="D131" s="21" t="inlineStr">
        <is>
          <t>Project Management.Proj Coor - 100140</t>
        </is>
      </c>
      <c r="E131" s="697" t="n">
        <v>76.56999999999999</v>
      </c>
      <c r="F131" s="698">
        <f>VLOOKUP(B131,Input!B:J,9,0)</f>
        <v/>
      </c>
      <c r="H131" s="26">
        <f>F131-E131</f>
        <v/>
      </c>
      <c r="I131" s="75">
        <f>H131/E131</f>
        <v/>
      </c>
    </row>
    <row r="132">
      <c r="D132" s="21" t="n"/>
      <c r="E132" s="697" t="n"/>
      <c r="F132" s="698" t="n"/>
      <c r="H132" s="26" t="n"/>
      <c r="I132" s="75" t="n"/>
    </row>
    <row r="133">
      <c r="D133" s="21" t="n"/>
      <c r="E133" s="697" t="n"/>
      <c r="F133" s="698" t="n"/>
      <c r="H133" s="26" t="n"/>
      <c r="I133" s="75" t="n"/>
    </row>
    <row r="134">
      <c r="D134" s="46" t="inlineStr">
        <is>
          <t>**Sales - CSE**</t>
        </is>
      </c>
      <c r="E134" s="697" t="n"/>
      <c r="F134" s="698" t="n"/>
      <c r="H134" s="26" t="n"/>
      <c r="I134" s="75" t="n"/>
    </row>
    <row r="135">
      <c r="D135" s="21" t="inlineStr">
        <is>
          <t>Verify role/rate in Tableau or Reference&gt;Finance&gt;Burdened Rates</t>
        </is>
      </c>
      <c r="E135" s="697" t="n"/>
      <c r="F135" s="698" t="n"/>
      <c r="H135" s="26" t="n"/>
      <c r="I135" s="75" t="n"/>
    </row>
    <row r="136">
      <c r="D136" s="46" t="n"/>
      <c r="E136" s="697" t="n"/>
      <c r="F136" s="698" t="n"/>
      <c r="H136" s="26" t="n"/>
      <c r="I136" s="75" t="n"/>
    </row>
    <row r="137">
      <c r="D137" s="21" t="n"/>
      <c r="E137" s="697" t="n"/>
      <c r="F137" s="698" t="n"/>
      <c r="H137" s="26" t="n"/>
      <c r="I137" s="75" t="n"/>
    </row>
    <row r="138">
      <c r="D138" s="70" t="inlineStr">
        <is>
          <t>**Application Services**</t>
        </is>
      </c>
      <c r="E138" s="701" t="n"/>
      <c r="F138" s="698" t="n"/>
      <c r="H138" s="26" t="n"/>
      <c r="I138" s="75" t="n"/>
    </row>
    <row r="139">
      <c r="D139" s="80" t="inlineStr">
        <is>
          <t>Agile Delivery.Business Analyst, Software-Agile Dedicated 70pct - 100009</t>
        </is>
      </c>
      <c r="E139" s="697" t="n">
        <v>119.7</v>
      </c>
      <c r="F139" s="698" t="n">
        <v>130.68</v>
      </c>
      <c r="G139" t="inlineStr">
        <is>
          <t>Mannual Update</t>
        </is>
      </c>
      <c r="H139" s="26">
        <f>F139-E139</f>
        <v/>
      </c>
      <c r="I139" s="75">
        <f>H139/E139</f>
        <v/>
      </c>
    </row>
    <row r="140">
      <c r="D140" s="80" t="inlineStr">
        <is>
          <t>Agile Delivery.Coach, Software-Agile Shared 25pct  4860</t>
        </is>
      </c>
      <c r="E140" s="702" t="n">
        <v>215.84</v>
      </c>
      <c r="F140" s="700">
        <f>E140</f>
        <v/>
      </c>
      <c r="G140" t="inlineStr">
        <is>
          <t>Not found</t>
        </is>
      </c>
      <c r="H140" s="26">
        <f>F140-E140</f>
        <v/>
      </c>
      <c r="I140" s="75">
        <f>H140/E140</f>
        <v/>
      </c>
    </row>
    <row r="141">
      <c r="D141" s="80" t="inlineStr">
        <is>
          <t>Agile Delivery.Delivery Lead, Software-Agile Dedicated 70pct -  100011</t>
        </is>
      </c>
      <c r="E141" s="697" t="n">
        <v>174.3</v>
      </c>
      <c r="F141" s="700">
        <f>E141</f>
        <v/>
      </c>
      <c r="G141" t="inlineStr">
        <is>
          <t>Not found</t>
        </is>
      </c>
      <c r="H141" s="26">
        <f>F141-E141</f>
        <v/>
      </c>
      <c r="I141" s="75">
        <f>H141/E141</f>
        <v/>
      </c>
    </row>
    <row r="142">
      <c r="D142" s="80" t="inlineStr">
        <is>
          <t>ATC.Engineer - 100025</t>
        </is>
      </c>
      <c r="E142" s="697" t="n">
        <v>128.25</v>
      </c>
      <c r="F142" s="700">
        <f>E142</f>
        <v/>
      </c>
      <c r="G142" t="inlineStr">
        <is>
          <t>Not found</t>
        </is>
      </c>
      <c r="H142" s="26">
        <f>F142-E142</f>
        <v/>
      </c>
      <c r="I142" s="75">
        <f>H142/E142</f>
        <v/>
      </c>
    </row>
    <row r="143">
      <c r="D143" s="80" t="inlineStr">
        <is>
          <t>Agile Delivery.Director, Software-Agile Overhead - 100012</t>
        </is>
      </c>
      <c r="E143" s="697" t="n">
        <v>213.75</v>
      </c>
      <c r="F143" s="698" t="n">
        <v>245.25</v>
      </c>
      <c r="G143" t="inlineStr">
        <is>
          <t>Mannual Update</t>
        </is>
      </c>
      <c r="H143" s="26">
        <f>F143-E143</f>
        <v/>
      </c>
      <c r="I143" s="75">
        <f>H143/E143</f>
        <v/>
      </c>
    </row>
    <row r="144">
      <c r="D144" s="80" t="inlineStr">
        <is>
          <t>Agile Delivery.Product Owner, Software-Agile Dedicated 70pct - 100014</t>
        </is>
      </c>
      <c r="E144" s="697" t="n">
        <v>130.2</v>
      </c>
      <c r="F144" s="700">
        <f>E144</f>
        <v/>
      </c>
      <c r="G144" t="inlineStr">
        <is>
          <t>Not found</t>
        </is>
      </c>
      <c r="H144" s="26">
        <f>F144-E144</f>
        <v/>
      </c>
      <c r="I144" s="75">
        <f>H144/E144</f>
        <v/>
      </c>
    </row>
    <row r="145">
      <c r="D145" s="80" t="inlineStr">
        <is>
          <t>Agile Delivery.QA Analyst, Software-Agile Dedicated 70pct AS- 100015</t>
        </is>
      </c>
      <c r="E145" s="697" t="n">
        <v>100.8</v>
      </c>
      <c r="F145" s="700">
        <f>E145</f>
        <v/>
      </c>
      <c r="G145" t="inlineStr">
        <is>
          <t>Not found</t>
        </is>
      </c>
      <c r="H145" s="26">
        <f>F145-E145</f>
        <v/>
      </c>
      <c r="I145" s="75">
        <f>H145/E145</f>
        <v/>
      </c>
    </row>
    <row r="146">
      <c r="D146" s="80" t="inlineStr">
        <is>
          <t>AS Agile Shared.Product Owner, Software-Agile Dedicated 60pct -  100014</t>
        </is>
      </c>
      <c r="E146" s="697" t="n">
        <v>150.66</v>
      </c>
      <c r="F146" s="700">
        <f>E146</f>
        <v/>
      </c>
      <c r="G146" t="inlineStr">
        <is>
          <t>Not found</t>
        </is>
      </c>
      <c r="H146" s="26">
        <f>F146-E146</f>
        <v/>
      </c>
      <c r="I146" s="75">
        <f>H146/E146</f>
        <v/>
      </c>
    </row>
    <row r="147">
      <c r="D147" s="80" t="inlineStr">
        <is>
          <t>Agile Delivery.QA Engineer, Software-Agile Dedicated 70pct - 100016</t>
        </is>
      </c>
      <c r="E147" s="697" t="n">
        <v>111.3</v>
      </c>
      <c r="F147" s="700">
        <f>E147</f>
        <v/>
      </c>
      <c r="G147" t="inlineStr">
        <is>
          <t>Not found</t>
        </is>
      </c>
      <c r="H147" s="26">
        <f>F147-E147</f>
        <v/>
      </c>
      <c r="I147" s="75">
        <f>H147/E147</f>
        <v/>
      </c>
    </row>
    <row r="148">
      <c r="D148" s="80" t="inlineStr">
        <is>
          <t>Agile Delivery.Security Engineer, Software-Agile Split 60pct -100017</t>
        </is>
      </c>
      <c r="E148" s="697" t="n">
        <v>138.51</v>
      </c>
      <c r="F148" s="698" t="n">
        <v>158.6</v>
      </c>
      <c r="G148" t="inlineStr">
        <is>
          <t>Mannual Update</t>
        </is>
      </c>
      <c r="H148" s="26">
        <f>F148-E148</f>
        <v/>
      </c>
      <c r="I148" s="75">
        <f>H148/E148</f>
        <v/>
      </c>
    </row>
    <row r="149">
      <c r="D149" s="80" t="inlineStr">
        <is>
          <t>Agile Delivery.Software Engineer, Software-Agile Dedicated 70pct - 100018</t>
        </is>
      </c>
      <c r="E149" s="697" t="n">
        <v>128.1</v>
      </c>
      <c r="F149" s="700">
        <f>E149</f>
        <v/>
      </c>
      <c r="G149" t="inlineStr">
        <is>
          <t>Not found</t>
        </is>
      </c>
      <c r="H149" s="26">
        <f>F149-E149</f>
        <v/>
      </c>
      <c r="I149" s="75">
        <f>H149/E149</f>
        <v/>
      </c>
    </row>
    <row r="150">
      <c r="D150" s="80" t="inlineStr">
        <is>
          <t>Agile Delivery.Staff, Software-Agile Overhead - 100019</t>
        </is>
      </c>
      <c r="E150" s="697" t="n">
        <v>60.75</v>
      </c>
      <c r="F150" s="700">
        <f>E150</f>
        <v/>
      </c>
      <c r="G150" t="inlineStr">
        <is>
          <t>Not found</t>
        </is>
      </c>
      <c r="H150" s="26">
        <f>F150-E150</f>
        <v/>
      </c>
      <c r="I150" s="75">
        <f>H150/E150</f>
        <v/>
      </c>
    </row>
    <row r="151">
      <c r="D151" s="80" t="inlineStr">
        <is>
          <t>Agile Delivery.UX Consultant, Software-Agile Split 60pct - 100020</t>
        </is>
      </c>
      <c r="E151" s="697" t="n">
        <v>111.78</v>
      </c>
      <c r="F151" s="700">
        <f>E151</f>
        <v/>
      </c>
      <c r="G151" t="inlineStr">
        <is>
          <t>Not found</t>
        </is>
      </c>
      <c r="H151" s="26">
        <f>F151-E151</f>
        <v/>
      </c>
      <c r="I151" s="75">
        <f>H151/E151</f>
        <v/>
      </c>
    </row>
    <row r="152">
      <c r="D152" s="80" t="inlineStr">
        <is>
          <t>Agile Delivery.UX Frontend Engineer, Software-Agile Split 70pct - 100021</t>
        </is>
      </c>
      <c r="E152" s="697" t="n">
        <v>111.3</v>
      </c>
      <c r="F152" s="698" t="n">
        <v>118.8</v>
      </c>
      <c r="G152" t="inlineStr">
        <is>
          <t>Mannual Update</t>
        </is>
      </c>
      <c r="H152" s="26">
        <f>F152-E152</f>
        <v/>
      </c>
      <c r="I152" s="75">
        <f>H152/E152</f>
        <v/>
      </c>
    </row>
    <row r="153">
      <c r="D153" s="80" t="inlineStr">
        <is>
          <t>Agile Delivery.UX Mentor, Software-Agile Split 60pct -  100022</t>
        </is>
      </c>
      <c r="E153" s="697" t="n">
        <v>165.24</v>
      </c>
      <c r="F153" s="700">
        <f>E153</f>
        <v/>
      </c>
      <c r="G153" t="inlineStr">
        <is>
          <t>Not found</t>
        </is>
      </c>
      <c r="H153" s="26">
        <f>F153-E153</f>
        <v/>
      </c>
      <c r="I153" s="75">
        <f>H153/E153</f>
        <v/>
      </c>
    </row>
    <row r="154">
      <c r="D154" s="21" t="n"/>
      <c r="E154" s="697" t="n"/>
      <c r="F154" s="698" t="n"/>
      <c r="H154" s="26" t="n"/>
      <c r="I154" s="75" t="n"/>
    </row>
    <row r="155">
      <c r="D155" s="21" t="n"/>
      <c r="E155" s="697" t="n"/>
      <c r="F155" s="698" t="n"/>
      <c r="H155" s="26" t="n"/>
      <c r="I155" s="75" t="n"/>
    </row>
    <row r="156">
      <c r="D156" s="46" t="inlineStr">
        <is>
          <t>**IS Enterprise Solutions (formerly Advisory Services) - Dedicated**</t>
        </is>
      </c>
      <c r="E156" s="697" t="n"/>
      <c r="F156" s="698" t="n"/>
      <c r="H156" s="26" t="n"/>
      <c r="I156" s="75" t="n"/>
    </row>
    <row r="157">
      <c r="B157">
        <f>C157&amp;D157</f>
        <v/>
      </c>
      <c r="C157" s="72" t="inlineStr">
        <is>
          <t>IS ES Consultants Dedicated</t>
        </is>
      </c>
      <c r="D157" s="21" t="inlineStr">
        <is>
          <t>AdvisoryServices.SeniorConsultant - 100008</t>
        </is>
      </c>
      <c r="E157" s="697" t="n">
        <v>149.76</v>
      </c>
      <c r="F157" s="698">
        <f>VLOOKUP(B157,Input!B:J,9,0)</f>
        <v/>
      </c>
      <c r="H157" s="26">
        <f>F157-E157</f>
        <v/>
      </c>
      <c r="I157" s="75">
        <f>H157/E157</f>
        <v/>
      </c>
    </row>
    <row r="158">
      <c r="B158">
        <f>C158&amp;D158</f>
        <v/>
      </c>
      <c r="C158" s="73" t="inlineStr">
        <is>
          <t>IS ES Consultants</t>
        </is>
      </c>
      <c r="D158" s="21" t="inlineStr">
        <is>
          <t>AdvisoryServices.Enterprise Architect - 100004</t>
        </is>
      </c>
      <c r="E158" s="697" t="n">
        <v>170.88</v>
      </c>
      <c r="F158" s="698">
        <f>VLOOKUP(B158,Input!B:J,9,0)</f>
        <v/>
      </c>
      <c r="H158" s="26">
        <f>F158-E158</f>
        <v/>
      </c>
      <c r="I158" s="75">
        <f>H158/E158</f>
        <v/>
      </c>
    </row>
    <row r="159">
      <c r="B159">
        <f>C159&amp;D159</f>
        <v/>
      </c>
      <c r="C159" s="73" t="inlineStr">
        <is>
          <t>IS ES Consultants</t>
        </is>
      </c>
      <c r="D159" s="21" t="inlineStr">
        <is>
          <t>AdvisoryServices.Consultant - 100003</t>
        </is>
      </c>
      <c r="E159" s="697" t="n">
        <v>140.16</v>
      </c>
      <c r="F159" s="698">
        <f>VLOOKUP(B159,Input!B:J,9,0)</f>
        <v/>
      </c>
      <c r="H159" s="26">
        <f>F159-E159</f>
        <v/>
      </c>
      <c r="I159" s="75">
        <f>H159/E159</f>
        <v/>
      </c>
    </row>
    <row r="160">
      <c r="B160">
        <f>C160&amp;D160</f>
        <v/>
      </c>
      <c r="C160" s="72" t="inlineStr">
        <is>
          <t>IS ES Consultants Dedicated</t>
        </is>
      </c>
      <c r="D160" s="21" t="inlineStr">
        <is>
          <t>AdvisoryServices.Chief Architect - 100002</t>
        </is>
      </c>
      <c r="E160" s="697" t="n">
        <v>193.92</v>
      </c>
      <c r="F160" s="698">
        <f>VLOOKUP(B160,Input!B:J,9,0)</f>
        <v/>
      </c>
      <c r="H160" s="26">
        <f>F160-E160</f>
        <v/>
      </c>
      <c r="I160" s="75">
        <f>H160/E160</f>
        <v/>
      </c>
    </row>
    <row r="162">
      <c r="D162" s="46" t="inlineStr">
        <is>
          <t>**IS DS Learning Solutions (formerly Adoption Services)**</t>
        </is>
      </c>
      <c r="E162" s="697" t="n"/>
      <c r="F162" s="698" t="n"/>
      <c r="H162" s="26" t="n"/>
      <c r="I162" s="75" t="n"/>
    </row>
    <row r="163">
      <c r="B163">
        <f>C163&amp;D163</f>
        <v/>
      </c>
      <c r="C163" s="73" t="inlineStr">
        <is>
          <t>IS DS Learning Solutions</t>
        </is>
      </c>
      <c r="D163" s="21" t="inlineStr">
        <is>
          <t>Learning.Specialist - 100133</t>
        </is>
      </c>
      <c r="E163" s="697" t="n">
        <v>85.40000000000001</v>
      </c>
      <c r="F163" s="698">
        <f>VLOOKUP(B163,Input!B:J,9,0)</f>
        <v/>
      </c>
      <c r="H163" s="26">
        <f>F163-E163</f>
        <v/>
      </c>
      <c r="I163" s="75">
        <f>H163/E163</f>
        <v/>
      </c>
    </row>
    <row r="164">
      <c r="B164">
        <f>C164&amp;D164</f>
        <v/>
      </c>
      <c r="C164" s="73" t="inlineStr">
        <is>
          <t>IS DS Learning Solutions</t>
        </is>
      </c>
      <c r="D164" s="21" t="inlineStr">
        <is>
          <t>Learning.Sr Specialist - 100134</t>
        </is>
      </c>
      <c r="E164" s="697" t="n">
        <v>165.92</v>
      </c>
      <c r="F164" s="698">
        <f>VLOOKUP(B164,Input!B:J,9,0)</f>
        <v/>
      </c>
      <c r="H164" s="26">
        <f>F164-E164</f>
        <v/>
      </c>
      <c r="I164" s="75">
        <f>H164/E164</f>
        <v/>
      </c>
    </row>
    <row r="165">
      <c r="D165" s="21" t="n"/>
      <c r="E165" s="697" t="n"/>
      <c r="F165" s="698" t="n"/>
      <c r="H165" s="26" t="n"/>
      <c r="I165" s="75" t="n"/>
    </row>
    <row r="166">
      <c r="D166" s="46" t="inlineStr">
        <is>
          <t>** Consulting Services **</t>
        </is>
      </c>
      <c r="E166" s="697" t="n"/>
      <c r="F166" s="698" t="n"/>
      <c r="H166" s="26" t="n"/>
      <c r="I166" s="75" t="n"/>
    </row>
    <row r="167">
      <c r="B167">
        <f>C167&amp;D167</f>
        <v/>
      </c>
      <c r="C167" s="72" t="inlineStr">
        <is>
          <t>IS OH Practice Mgmt</t>
        </is>
      </c>
      <c r="D167" s="21" t="inlineStr">
        <is>
          <t>CS Security Billable A, Security Architect -100155</t>
        </is>
      </c>
      <c r="E167" s="697" t="n">
        <v>179.33</v>
      </c>
      <c r="F167" s="700">
        <f>E167</f>
        <v/>
      </c>
      <c r="G167" t="inlineStr">
        <is>
          <t>Not found</t>
        </is>
      </c>
      <c r="H167" s="26">
        <f>F167-E167</f>
        <v/>
      </c>
      <c r="I167" s="75">
        <f>H167/E167</f>
        <v/>
      </c>
    </row>
    <row r="168">
      <c r="B168">
        <f>C168&amp;D168</f>
        <v/>
      </c>
      <c r="C168" s="73" t="inlineStr">
        <is>
          <t>CS Security BD</t>
        </is>
      </c>
      <c r="D168" s="21" t="inlineStr">
        <is>
          <t>Security.Consultant - 100156</t>
        </is>
      </c>
      <c r="E168" s="697" t="n">
        <v>177.06</v>
      </c>
      <c r="F168" s="698">
        <f>VLOOKUP(B168,Input!B:J,9,0)</f>
        <v/>
      </c>
      <c r="H168" s="26">
        <f>F168-E168</f>
        <v/>
      </c>
      <c r="I168" s="75">
        <f>H168/E168</f>
        <v/>
      </c>
    </row>
    <row r="169">
      <c r="B169">
        <f>C169&amp;D169</f>
        <v/>
      </c>
      <c r="C169" s="73" t="inlineStr">
        <is>
          <t>CS Security BD</t>
        </is>
      </c>
      <c r="D169" s="21" t="inlineStr">
        <is>
          <t>Security.Principal Consultant - 100159</t>
        </is>
      </c>
      <c r="E169" s="697" t="n">
        <v>227</v>
      </c>
      <c r="F169" s="698">
        <f>VLOOKUP(B169,Input!B:J,9,0)</f>
        <v/>
      </c>
      <c r="H169" s="26">
        <f>F169-E169</f>
        <v/>
      </c>
      <c r="I169" s="75">
        <f>H169/E169</f>
        <v/>
      </c>
    </row>
    <row r="170">
      <c r="B170">
        <f>C170&amp;D170</f>
        <v/>
      </c>
      <c r="C170" s="73" t="inlineStr">
        <is>
          <t>CS Security BD</t>
        </is>
      </c>
      <c r="D170" s="21" t="inlineStr">
        <is>
          <t>Security.Technician - 100161</t>
        </is>
      </c>
      <c r="E170" s="697" t="n">
        <v>107.63</v>
      </c>
      <c r="F170" s="698">
        <f>VLOOKUP(B170,Input!B:J,9,0)</f>
        <v/>
      </c>
      <c r="H170" s="26">
        <f>F170-E170</f>
        <v/>
      </c>
      <c r="I170" s="75">
        <f>H170/E170</f>
        <v/>
      </c>
    </row>
    <row r="171">
      <c r="D171" s="21" t="n"/>
      <c r="E171" s="697" t="n"/>
      <c r="F171" s="698" t="n"/>
      <c r="H171" s="26" t="n"/>
      <c r="I171" s="75" t="n"/>
    </row>
    <row r="172">
      <c r="D172" s="46" t="inlineStr">
        <is>
          <t>IS ES CIG Service Investments**</t>
        </is>
      </c>
      <c r="E172" s="697" t="n"/>
      <c r="F172" s="698" t="n"/>
      <c r="H172" s="26" t="n"/>
      <c r="I172" s="75" t="n"/>
    </row>
    <row r="173">
      <c r="D173" s="21" t="inlineStr">
        <is>
          <t>Enterprise.Architect - CIG Service Investments - 100108</t>
        </is>
      </c>
      <c r="E173" s="697" t="n">
        <v>235.72</v>
      </c>
      <c r="F173" s="700">
        <f>E173</f>
        <v/>
      </c>
      <c r="G173" t="inlineStr">
        <is>
          <t>Not found</t>
        </is>
      </c>
      <c r="H173" s="26">
        <f>F173-E173</f>
        <v/>
      </c>
      <c r="I173" s="75">
        <f>H173/E173</f>
        <v/>
      </c>
    </row>
    <row r="174">
      <c r="D174" s="21" t="n"/>
      <c r="E174" s="697" t="n"/>
      <c r="F174" s="698" t="n"/>
      <c r="H174" s="26" t="n"/>
      <c r="I174" s="75" t="n"/>
    </row>
    <row r="175">
      <c r="D175" s="21" t="inlineStr">
        <is>
          <t>GET.Architect - AS - 100117</t>
        </is>
      </c>
      <c r="E175" s="697" t="n">
        <v>175.5</v>
      </c>
      <c r="F175" s="700">
        <f>E175</f>
        <v/>
      </c>
      <c r="G175" t="inlineStr">
        <is>
          <t>Not found</t>
        </is>
      </c>
      <c r="H175" s="26">
        <f>F175-E175</f>
        <v/>
      </c>
      <c r="I175" s="75">
        <f>H175/E175</f>
        <v/>
      </c>
    </row>
    <row r="176">
      <c r="D176" s="21" t="inlineStr">
        <is>
          <t>GET.Engineer - AS - 100119</t>
        </is>
      </c>
      <c r="E176" s="697" t="n">
        <v>130.5</v>
      </c>
      <c r="F176" s="700">
        <f>E176</f>
        <v/>
      </c>
      <c r="G176" t="inlineStr">
        <is>
          <t>Not found</t>
        </is>
      </c>
      <c r="H176" s="26">
        <f>F176-E176</f>
        <v/>
      </c>
      <c r="I176" s="75">
        <f>H176/E176</f>
        <v/>
      </c>
    </row>
    <row r="177">
      <c r="D177" s="21" t="inlineStr">
        <is>
          <t>GET.Engineer - CS - 100119</t>
        </is>
      </c>
      <c r="E177" s="697" t="n">
        <v>136.3</v>
      </c>
      <c r="F177" s="700">
        <f>E177</f>
        <v/>
      </c>
      <c r="G177" t="inlineStr">
        <is>
          <t>Not found</t>
        </is>
      </c>
      <c r="H177" s="26">
        <f>F177-E177</f>
        <v/>
      </c>
      <c r="I177" s="75">
        <f>H177/E177</f>
        <v/>
      </c>
    </row>
    <row r="178">
      <c r="D178" s="21" t="n"/>
      <c r="E178" s="697" t="n"/>
      <c r="F178" s="698" t="n"/>
      <c r="H178" s="26" t="n"/>
      <c r="I178" s="75" t="n"/>
    </row>
    <row r="179">
      <c r="B179">
        <f>C179&amp;D179</f>
        <v/>
      </c>
      <c r="C179" s="73" t="inlineStr">
        <is>
          <t>IS MS Enablement</t>
        </is>
      </c>
      <c r="D179" s="21" t="inlineStr">
        <is>
          <t>Managed Svcs.Client Exp Champion - 100246</t>
        </is>
      </c>
      <c r="E179" s="697" t="n">
        <v>154.05</v>
      </c>
      <c r="F179" s="698">
        <f>VLOOKUP(B179,Input!B:J,9,0)</f>
        <v/>
      </c>
      <c r="H179" s="26">
        <f>F179-E179</f>
        <v/>
      </c>
      <c r="I179" s="75">
        <f>H179/E179</f>
        <v/>
      </c>
    </row>
    <row r="180">
      <c r="B180">
        <f>C180&amp;D180</f>
        <v/>
      </c>
      <c r="C180" s="73" t="inlineStr">
        <is>
          <t>IS MS Enablement</t>
        </is>
      </c>
      <c r="D180" s="21" t="inlineStr">
        <is>
          <t>Managed Svcs.Client Exp Specialist - 100247</t>
        </is>
      </c>
      <c r="E180" s="697" t="n">
        <v>71.09999999999999</v>
      </c>
      <c r="F180" s="698">
        <f>VLOOKUP(B180,Input!B:J,9,0)</f>
        <v/>
      </c>
      <c r="H180" s="26">
        <f>F180-E180</f>
        <v/>
      </c>
      <c r="I180" s="75">
        <f>H180/E180</f>
        <v/>
      </c>
    </row>
    <row r="181">
      <c r="D181" s="21" t="n"/>
      <c r="E181" s="697" t="n"/>
      <c r="F181" s="698" t="n"/>
      <c r="H181" s="26" t="n"/>
      <c r="I181" s="75" t="n"/>
    </row>
    <row r="182">
      <c r="C182" s="72" t="inlineStr">
        <is>
          <t>CS Cloud Transition Billable</t>
        </is>
      </c>
      <c r="D182" s="80" t="inlineStr">
        <is>
          <t>CS Cloud.Associate Engineer.AWS -100274</t>
        </is>
      </c>
      <c r="E182" s="697" t="n">
        <v>122.2</v>
      </c>
      <c r="F182" s="698" t="n">
        <v>125.08</v>
      </c>
      <c r="G182" t="inlineStr">
        <is>
          <t>Mannual Update</t>
        </is>
      </c>
      <c r="H182" s="26">
        <f>F182-E182</f>
        <v/>
      </c>
      <c r="I182" s="75">
        <f>H182/E182</f>
        <v/>
      </c>
    </row>
    <row r="183">
      <c r="C183" s="72" t="inlineStr">
        <is>
          <t>CS Cloud Transition Billable</t>
        </is>
      </c>
      <c r="D183" s="80" t="inlineStr">
        <is>
          <t>CS Cloud.Associate Engineer.Msft - 100274</t>
        </is>
      </c>
      <c r="E183" s="697" t="n">
        <v>122.2</v>
      </c>
      <c r="F183" s="698" t="n">
        <v>125.08</v>
      </c>
      <c r="G183" t="inlineStr">
        <is>
          <t>Mannual Update</t>
        </is>
      </c>
      <c r="H183" s="26">
        <f>F183-E183</f>
        <v/>
      </c>
      <c r="I183" s="75">
        <f>H183/E183</f>
        <v/>
      </c>
    </row>
    <row r="184">
      <c r="C184" s="72" t="inlineStr">
        <is>
          <t>CS Cloud Transition Billable</t>
        </is>
      </c>
      <c r="D184" s="80" t="inlineStr">
        <is>
          <t>CS Cloud.Engineer.AWS - 100051</t>
        </is>
      </c>
      <c r="E184" s="697" t="n">
        <v>141</v>
      </c>
      <c r="F184" s="698" t="n">
        <v>141.6</v>
      </c>
      <c r="G184" t="inlineStr">
        <is>
          <t>Mannual Update</t>
        </is>
      </c>
      <c r="H184" s="26">
        <f>F184-E184</f>
        <v/>
      </c>
      <c r="I184" s="75">
        <f>H184/E184</f>
        <v/>
      </c>
    </row>
    <row r="185">
      <c r="C185" s="72" t="inlineStr">
        <is>
          <t>CS Cloud Transition Billable</t>
        </is>
      </c>
      <c r="D185" s="80" t="inlineStr">
        <is>
          <t>CS Cloud.Engineer.Google - 100051</t>
        </is>
      </c>
      <c r="E185" s="697" t="n">
        <v>141</v>
      </c>
      <c r="F185" s="698" t="n">
        <v>141.6</v>
      </c>
      <c r="G185" t="inlineStr">
        <is>
          <t>Mannual Update</t>
        </is>
      </c>
      <c r="H185" s="26">
        <f>F185-E185</f>
        <v/>
      </c>
      <c r="I185" s="75">
        <f>H185/E185</f>
        <v/>
      </c>
    </row>
    <row r="186">
      <c r="C186" s="72" t="inlineStr">
        <is>
          <t>CS Cloud Transition Billable</t>
        </is>
      </c>
      <c r="D186" s="80" t="inlineStr">
        <is>
          <t>CS Cloud.Engineer.Msft - 100051</t>
        </is>
      </c>
      <c r="E186" s="697" t="n">
        <v>141</v>
      </c>
      <c r="F186" s="698" t="n">
        <v>141.6</v>
      </c>
      <c r="G186" t="inlineStr">
        <is>
          <t>Mannual Update</t>
        </is>
      </c>
      <c r="H186" s="26">
        <f>F186-E186</f>
        <v/>
      </c>
      <c r="I186" s="75">
        <f>H186/E186</f>
        <v/>
      </c>
    </row>
    <row r="187">
      <c r="C187" s="72" t="inlineStr">
        <is>
          <t>CS Cloud Transition Billable</t>
        </is>
      </c>
      <c r="D187" s="80" t="inlineStr">
        <is>
          <t>CS Cloud.Enterprise Architect - 100277</t>
        </is>
      </c>
      <c r="E187" s="697" t="n">
        <v>225.6</v>
      </c>
      <c r="F187" s="700">
        <f>E187</f>
        <v/>
      </c>
      <c r="G187" t="inlineStr">
        <is>
          <t>Not found</t>
        </is>
      </c>
      <c r="H187" s="26">
        <f>F187-E187</f>
        <v/>
      </c>
      <c r="I187" s="75">
        <f>H187/E187</f>
        <v/>
      </c>
    </row>
    <row r="188">
      <c r="C188" s="72" t="inlineStr">
        <is>
          <t>CS Cloud Transition Billable</t>
        </is>
      </c>
      <c r="D188" s="80" t="inlineStr">
        <is>
          <t>CS Cloud.PlatformArchitect.AWS - 100053</t>
        </is>
      </c>
      <c r="E188" s="697" t="n">
        <v>185.65</v>
      </c>
      <c r="F188" s="698" t="n">
        <v>186.44</v>
      </c>
      <c r="G188" t="inlineStr">
        <is>
          <t>Mannual Update</t>
        </is>
      </c>
      <c r="H188" s="26">
        <f>F188-E188</f>
        <v/>
      </c>
      <c r="I188" s="75">
        <f>H188/E188</f>
        <v/>
      </c>
    </row>
    <row r="189">
      <c r="C189" s="72" t="inlineStr">
        <is>
          <t>CS Cloud Transition Billable</t>
        </is>
      </c>
      <c r="D189" s="80" t="inlineStr">
        <is>
          <t>CS Cloud.PlatformArchitect.Google - 100053</t>
        </is>
      </c>
      <c r="E189" s="697" t="n">
        <v>185.65</v>
      </c>
      <c r="F189" s="698" t="n">
        <v>186.44</v>
      </c>
      <c r="G189" t="inlineStr">
        <is>
          <t>Mannual Update</t>
        </is>
      </c>
      <c r="H189" s="26">
        <f>F189-E189</f>
        <v/>
      </c>
      <c r="I189" s="75">
        <f>H189/E189</f>
        <v/>
      </c>
    </row>
    <row r="190">
      <c r="C190" s="72" t="inlineStr">
        <is>
          <t>CS Cloud Transition Billable</t>
        </is>
      </c>
      <c r="D190" s="80" t="inlineStr">
        <is>
          <t>CS Cloud.PlatformArchitect.Msft - 100053</t>
        </is>
      </c>
      <c r="E190" s="697" t="n">
        <v>185.65</v>
      </c>
      <c r="F190" s="698" t="n">
        <v>186.44</v>
      </c>
      <c r="G190" t="inlineStr">
        <is>
          <t>Mannual Update</t>
        </is>
      </c>
      <c r="H190" s="26">
        <f>F190-E190</f>
        <v/>
      </c>
      <c r="I190" s="75">
        <f>H190/E190</f>
        <v/>
      </c>
    </row>
    <row r="191">
      <c r="C191" s="72" t="inlineStr">
        <is>
          <t>CS Cloud Transition Billable</t>
        </is>
      </c>
      <c r="D191" s="80" t="inlineStr">
        <is>
          <t>CS Cloud.Practice Lead.Msft - 100278</t>
        </is>
      </c>
      <c r="E191" s="697" t="n">
        <v>195.05</v>
      </c>
      <c r="F191" s="698" t="n">
        <v>186.75</v>
      </c>
      <c r="G191" t="inlineStr">
        <is>
          <t>Mannual Update</t>
        </is>
      </c>
      <c r="H191" s="26">
        <f>F191-E191</f>
        <v/>
      </c>
      <c r="I191" s="75">
        <f>H191/E191</f>
        <v/>
      </c>
    </row>
    <row r="192">
      <c r="C192" s="72" t="inlineStr">
        <is>
          <t>CS Cloud Transition Billable</t>
        </is>
      </c>
      <c r="D192" s="80" t="inlineStr">
        <is>
          <t>CS Cloud.Sr Architect.AWS -100279</t>
        </is>
      </c>
      <c r="E192" s="697" t="n">
        <v>192.7</v>
      </c>
      <c r="F192" s="698" t="n">
        <v>205.32</v>
      </c>
      <c r="G192" t="inlineStr">
        <is>
          <t>Mannual Update</t>
        </is>
      </c>
      <c r="H192" s="26">
        <f>F192-E192</f>
        <v/>
      </c>
      <c r="I192" s="75">
        <f>H192/E192</f>
        <v/>
      </c>
    </row>
    <row r="193">
      <c r="C193" s="72" t="inlineStr">
        <is>
          <t>CS Cloud Transition Billable</t>
        </is>
      </c>
      <c r="D193" s="80" t="inlineStr">
        <is>
          <t>CS Cloud.Sr Architect.Msft -100279</t>
        </is>
      </c>
      <c r="E193" s="697" t="n">
        <v>192.7</v>
      </c>
      <c r="F193" s="698" t="n">
        <v>205.32</v>
      </c>
      <c r="G193" t="inlineStr">
        <is>
          <t>Mannual Update</t>
        </is>
      </c>
      <c r="H193" s="26">
        <f>F193-E193</f>
        <v/>
      </c>
      <c r="I193" s="75">
        <f>H193/E193</f>
        <v/>
      </c>
    </row>
    <row r="194">
      <c r="C194" s="72" t="inlineStr">
        <is>
          <t>CS Cloud Transition Billable</t>
        </is>
      </c>
      <c r="D194" s="80" t="inlineStr">
        <is>
          <t>CS Cloud.Sr Engineer.AWS -100280</t>
        </is>
      </c>
      <c r="E194" s="697" t="n">
        <v>173.9</v>
      </c>
      <c r="F194" s="698" t="n">
        <v>188.8</v>
      </c>
      <c r="G194" t="inlineStr">
        <is>
          <t>Mannual Update</t>
        </is>
      </c>
      <c r="H194" s="26">
        <f>F194-E194</f>
        <v/>
      </c>
      <c r="I194" s="75">
        <f>H194/E194</f>
        <v/>
      </c>
    </row>
    <row r="195">
      <c r="C195" s="72" t="inlineStr">
        <is>
          <t>CS Cloud Transition Billable</t>
        </is>
      </c>
      <c r="D195" s="80" t="inlineStr">
        <is>
          <t>CS Cloud.Sr Engineer.Msft -100280</t>
        </is>
      </c>
      <c r="E195" s="697" t="n">
        <v>173.9</v>
      </c>
      <c r="F195" s="698" t="n">
        <v>188.8</v>
      </c>
      <c r="G195" t="inlineStr">
        <is>
          <t>Mannual Update</t>
        </is>
      </c>
      <c r="H195" s="26">
        <f>F195-E195</f>
        <v/>
      </c>
      <c r="I195" s="75">
        <f>H195/E195</f>
        <v/>
      </c>
    </row>
  </sheetData>
  <conditionalFormatting sqref="I2:I195">
    <cfRule type="cellIs" priority="1" operator="greaterThanOrEqual" dxfId="0">
      <formula>6%</formula>
    </cfRule>
  </conditionalFormatting>
  <pageMargins left="0.7" right="0.7" top="0.75" bottom="0.75" header="0.3" footer="0.3"/>
  <headerFooter>
    <oddHeader/>
    <oddFooter>&amp;C&amp;"Calibri"&amp;10 &amp;K008000_x000d_# GENERAL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codeName="Sheet15"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ColWidth="8.5" defaultRowHeight="14.45"/>
  <cols>
    <col width="12.5" customWidth="1" style="64" min="1" max="1"/>
    <col width="8.5" bestFit="1" customWidth="1" style="66" min="2" max="2"/>
    <col width="12.5" bestFit="1" customWidth="1" style="66" min="3" max="3"/>
    <col width="18.375" customWidth="1" style="66" min="4" max="4"/>
    <col width="37" customWidth="1" style="66" min="5" max="7"/>
    <col width="22" customWidth="1" style="703" min="8" max="8"/>
    <col width="8.5" customWidth="1" style="64" min="9" max="9"/>
    <col width="8.5" customWidth="1" style="64" min="10" max="16384"/>
  </cols>
  <sheetData>
    <row r="1">
      <c r="A1" s="63" t="inlineStr">
        <is>
          <t>Version</t>
        </is>
      </c>
      <c r="B1" s="63" t="inlineStr">
        <is>
          <t>Date</t>
        </is>
      </c>
      <c r="C1" s="63" t="inlineStr">
        <is>
          <t>Initiator</t>
        </is>
      </c>
      <c r="D1" s="63" t="inlineStr">
        <is>
          <t>Category</t>
        </is>
      </c>
      <c r="E1" s="63" t="inlineStr">
        <is>
          <t>Current</t>
        </is>
      </c>
      <c r="F1" s="63" t="inlineStr">
        <is>
          <t>Recommended</t>
        </is>
      </c>
      <c r="G1" s="63" t="inlineStr">
        <is>
          <t>Reason</t>
        </is>
      </c>
      <c r="H1" s="704" t="inlineStr">
        <is>
          <t>PMO Approval Date</t>
        </is>
      </c>
    </row>
    <row r="2" ht="29.1" customHeight="1" s="433">
      <c r="A2" s="355" t="inlineStr">
        <is>
          <t>20220505-1</t>
        </is>
      </c>
      <c r="B2" s="471" t="n">
        <v>44683</v>
      </c>
      <c r="C2" s="356" t="inlineStr">
        <is>
          <t>Melissa Kramer</t>
        </is>
      </c>
      <c r="D2" s="356" t="inlineStr">
        <is>
          <t>Complexity Categorization Header</t>
        </is>
      </c>
      <c r="E2" s="472" t="inlineStr">
        <is>
          <t>Project/Program Complexity Categorization Header</t>
        </is>
      </c>
      <c r="F2" s="356" t="inlineStr">
        <is>
          <t>Remove Program from Header</t>
        </is>
      </c>
      <c r="G2" s="356" t="inlineStr">
        <is>
          <t>This tool is used for run rate projects only, no programs</t>
        </is>
      </c>
      <c r="H2" s="705" t="n">
        <v>44693</v>
      </c>
    </row>
    <row r="3" ht="57.95" customHeight="1" s="433">
      <c r="A3" s="355" t="inlineStr">
        <is>
          <t>20220505-1</t>
        </is>
      </c>
      <c r="B3" s="471" t="n">
        <v>44683</v>
      </c>
      <c r="C3" s="356" t="inlineStr">
        <is>
          <t>Melissa Kramer</t>
        </is>
      </c>
      <c r="D3" s="356" t="inlineStr">
        <is>
          <t>PC hours</t>
        </is>
      </c>
      <c r="E3" s="356" t="inlineStr">
        <is>
          <t>If primary role is not PC, multiply primary role's hours by 25% and give result to PC
- If total of primary and PC &lt;= 60, give total hours to primary role</t>
        </is>
      </c>
      <c r="F3" s="356" t="inlineStr">
        <is>
          <t>No PC hours unless PC is primary role assigned</t>
        </is>
      </c>
      <c r="G3" s="356" t="inlineStr">
        <is>
          <t>PC calculation is creating unnatural result</t>
        </is>
      </c>
      <c r="H3" s="705" t="n">
        <v>44693</v>
      </c>
    </row>
    <row r="4" ht="29.1" customHeight="1" s="433">
      <c r="A4" s="355" t="inlineStr">
        <is>
          <t>20220505-1</t>
        </is>
      </c>
      <c r="B4" s="471" t="n">
        <v>44683</v>
      </c>
      <c r="C4" s="356" t="inlineStr">
        <is>
          <t>Melissa Kramer</t>
        </is>
      </c>
      <c r="D4" s="356" t="inlineStr">
        <is>
          <t>PLW Hours</t>
        </is>
      </c>
      <c r="E4" s="356" t="inlineStr">
        <is>
          <t>If PLW, add 24 hours</t>
        </is>
      </c>
      <c r="F4" s="356" t="inlineStr">
        <is>
          <t>If PLW, add 30 hours</t>
        </is>
      </c>
      <c r="G4" s="356" t="inlineStr">
        <is>
          <t>Accounts for the removal of the PC calculation</t>
        </is>
      </c>
      <c r="H4" s="705" t="n">
        <v>44693</v>
      </c>
    </row>
    <row r="5" ht="29.1" customHeight="1" s="433">
      <c r="A5" s="355" t="inlineStr">
        <is>
          <t>20220505-1</t>
        </is>
      </c>
      <c r="B5" s="471" t="n">
        <v>44683</v>
      </c>
      <c r="C5" s="356" t="inlineStr">
        <is>
          <t>Melissa Kramer</t>
        </is>
      </c>
      <c r="D5" s="356" t="inlineStr">
        <is>
          <t>ISE</t>
        </is>
      </c>
      <c r="E5" s="356" t="inlineStr">
        <is>
          <t>ISE not included in Newer/Complex technology list</t>
        </is>
      </c>
      <c r="F5" s="356" t="inlineStr">
        <is>
          <t>Add ISE to Newer/Complex technology list</t>
        </is>
      </c>
      <c r="G5" s="356" t="inlineStr">
        <is>
          <t>ISE needs a higher level assignment to better reflect its complexity</t>
        </is>
      </c>
      <c r="H5" s="705" t="n">
        <v>44693</v>
      </c>
    </row>
    <row r="6" ht="57.95" customHeight="1" s="433">
      <c r="A6" s="355" t="inlineStr">
        <is>
          <t>20220505-1</t>
        </is>
      </c>
      <c r="B6" s="471" t="n">
        <v>44683</v>
      </c>
      <c r="C6" s="356" t="inlineStr">
        <is>
          <t>Melissa Kramer</t>
        </is>
      </c>
      <c r="D6" s="356" t="inlineStr">
        <is>
          <t>Region</t>
        </is>
      </c>
      <c r="E6" s="474" t="inlineStr">
        <is>
          <t xml:space="preserve">- Low = Single country with &lt;5 locations
- Low-Medium = Single country with 5-19 locations
- Medium - Single country with 20+ locations </t>
        </is>
      </c>
      <c r="F6" s="474" t="inlineStr">
        <is>
          <t>- Set Low to One Country
- Set Low-Medium to Single country with &lt; 5 locations
- Medium = Single country with 5-19 locations</t>
        </is>
      </c>
      <c r="G6" s="474" t="inlineStr">
        <is>
          <t>Better reflects complexity of each entry</t>
        </is>
      </c>
      <c r="H6" s="705" t="n">
        <v>44693</v>
      </c>
    </row>
    <row r="7" ht="57.95" customHeight="1" s="433">
      <c r="A7" s="355" t="inlineStr">
        <is>
          <t>20220505-1</t>
        </is>
      </c>
      <c r="B7" s="471" t="n">
        <v>44683</v>
      </c>
      <c r="C7" s="356" t="inlineStr">
        <is>
          <t>Melissa Kramer</t>
        </is>
      </c>
      <c r="D7" s="356" t="inlineStr">
        <is>
          <t>Region Note</t>
        </is>
      </c>
      <c r="E7" s="474" t="inlineStr">
        <is>
          <t>Blank</t>
        </is>
      </c>
      <c r="F7" s="474" t="inlineStr">
        <is>
          <t>Add note: 20+ locations or multiple countries and seems like multi-site, reach out to Branch Services Sales Support team (Manager is Derek Smethers)</t>
        </is>
      </c>
      <c r="G7" s="474" t="inlineStr">
        <is>
          <t>Direct individuals to multi-site contacts when site count is &gt; 20</t>
        </is>
      </c>
      <c r="H7" s="705" t="n">
        <v>44693</v>
      </c>
    </row>
    <row r="8" ht="43.5" customHeight="1" s="433">
      <c r="A8" s="355" t="inlineStr">
        <is>
          <t>20220505-1</t>
        </is>
      </c>
      <c r="B8" s="471" t="n">
        <v>44683</v>
      </c>
      <c r="C8" s="356" t="inlineStr">
        <is>
          <t>Melissa Kramer</t>
        </is>
      </c>
      <c r="D8" s="356" t="inlineStr">
        <is>
          <t>Region Formatting</t>
        </is>
      </c>
      <c r="E8" s="356" t="inlineStr">
        <is>
          <t>No fill</t>
        </is>
      </c>
      <c r="F8" s="356" t="inlineStr">
        <is>
          <t>High and Very High are highlighted yellow to alert user to contact PMO and consult Complex Deal criteria</t>
        </is>
      </c>
      <c r="G8" s="356" t="inlineStr">
        <is>
          <t>Call attention to need to involve PMO and initiate Complex Deal process</t>
        </is>
      </c>
      <c r="H8" s="705" t="n">
        <v>44693</v>
      </c>
    </row>
    <row r="9" ht="57.95" customHeight="1" s="433">
      <c r="A9" s="355" t="inlineStr">
        <is>
          <t>20220505-1</t>
        </is>
      </c>
      <c r="B9" s="471" t="n">
        <v>44683</v>
      </c>
      <c r="C9" s="356" t="inlineStr">
        <is>
          <t>Melissa Kramer</t>
        </is>
      </c>
      <c r="D9" s="356" t="inlineStr">
        <is>
          <t>Scope Note</t>
        </is>
      </c>
      <c r="E9" s="356" t="inlineStr">
        <is>
          <t>Blank</t>
        </is>
      </c>
      <c r="F9" s="356" t="inlineStr">
        <is>
          <t>Model should only be used for run rate projects, not programs. For programs, contact the regional Sr PMO Manager or Strategic Program Services"</t>
        </is>
      </c>
      <c r="G9" s="356" t="inlineStr">
        <is>
          <t>This tool is used for run rate projects only, no programs</t>
        </is>
      </c>
      <c r="H9" s="705" t="n">
        <v>44693</v>
      </c>
    </row>
    <row r="10" ht="43.5" customHeight="1" s="433">
      <c r="A10" s="355" t="inlineStr">
        <is>
          <t>20220505-1</t>
        </is>
      </c>
      <c r="B10" s="471" t="n">
        <v>44683</v>
      </c>
      <c r="C10" s="356" t="inlineStr">
        <is>
          <t>Melissa Kramer</t>
        </is>
      </c>
      <c r="D10" s="356" t="inlineStr">
        <is>
          <t>Scope</t>
        </is>
      </c>
      <c r="E10" s="356" t="inlineStr">
        <is>
          <t>No fill</t>
        </is>
      </c>
      <c r="F10" s="356" t="inlineStr">
        <is>
          <t>High and Very High are highlighted yellow to alert user to contact PMO and consult Complex Deal criteria</t>
        </is>
      </c>
      <c r="G10" s="356" t="inlineStr">
        <is>
          <t>Call attention to need to involve PMO and initiate Complex Deal process</t>
        </is>
      </c>
      <c r="H10" s="705" t="n">
        <v>44693</v>
      </c>
    </row>
    <row r="11" ht="29.1" customHeight="1" s="433">
      <c r="A11" s="355" t="inlineStr">
        <is>
          <t>20220505-1</t>
        </is>
      </c>
      <c r="B11" s="471" t="n">
        <v>44683</v>
      </c>
      <c r="C11" s="356" t="inlineStr">
        <is>
          <t>Melissa Kramer</t>
        </is>
      </c>
      <c r="D11" s="356" t="inlineStr">
        <is>
          <t>Stakeholder/ Delivery</t>
        </is>
      </c>
      <c r="E11" s="474" t="inlineStr">
        <is>
          <t>Low-Medium = Known customer, Known WWT delivery or known partner</t>
        </is>
      </c>
      <c r="F11" s="474" t="inlineStr">
        <is>
          <t>Low-Medium = Known customer, Known partner</t>
        </is>
      </c>
      <c r="G11" s="474" t="inlineStr">
        <is>
          <t>Clears up confusion between Low and Low-Medium</t>
        </is>
      </c>
      <c r="H11" s="705" t="n">
        <v>44693</v>
      </c>
    </row>
    <row r="12" ht="116.1" customHeight="1" s="433">
      <c r="A12" s="355" t="inlineStr">
        <is>
          <t>20220505-1</t>
        </is>
      </c>
      <c r="B12" s="471" t="n">
        <v>44683</v>
      </c>
      <c r="C12" s="356" t="inlineStr">
        <is>
          <t>Melissa Kramer</t>
        </is>
      </c>
      <c r="D12" s="356" t="inlineStr">
        <is>
          <t>Stakeholder/ Delivery Note</t>
        </is>
      </c>
      <c r="E12" s="356" t="inlineStr">
        <is>
          <t>No note</t>
        </is>
      </c>
      <c r="F12" s="356" t="inlineStr">
        <is>
          <t>Note indicating Requires PMO or account team input, if unknown default to a 3, customer might require more care and feeding due to more status calls/delays in getting signatures/PM attends every meeting (even if not tied into projects)-CHECK Customer notes use High for a difficult customer</t>
        </is>
      </c>
      <c r="G12" s="356" t="inlineStr">
        <is>
          <t>Indicates how to handle unknown or high touch customers</t>
        </is>
      </c>
      <c r="H12" s="705" t="n">
        <v>44693</v>
      </c>
    </row>
    <row r="13" ht="46.5" customHeight="1" s="433">
      <c r="A13" s="355" t="inlineStr">
        <is>
          <t>20220505-1</t>
        </is>
      </c>
      <c r="B13" s="471" t="n">
        <v>44683</v>
      </c>
      <c r="C13" s="356" t="inlineStr">
        <is>
          <t>Melissa Kramer</t>
        </is>
      </c>
      <c r="D13" s="356" t="inlineStr">
        <is>
          <t>Technology - High</t>
        </is>
      </c>
      <c r="E13" s="65" t="inlineStr">
        <is>
          <t>Emerging technology
Advanced Solutions
Multi Site Transformations</t>
        </is>
      </c>
      <c r="F13" s="65" t="inlineStr">
        <is>
          <t>Emerging technology
Advanced Solutions</t>
        </is>
      </c>
      <c r="G13" s="356" t="inlineStr">
        <is>
          <t>Multi-site is not addressed by this tool</t>
        </is>
      </c>
      <c r="H13" s="705" t="n">
        <v>44693</v>
      </c>
    </row>
    <row r="14" ht="43.5" customHeight="1" s="433">
      <c r="A14" s="355" t="inlineStr">
        <is>
          <t>20220505-1</t>
        </is>
      </c>
      <c r="B14" s="471" t="n">
        <v>44683</v>
      </c>
      <c r="C14" s="356" t="inlineStr">
        <is>
          <t>Melissa Kramer</t>
        </is>
      </c>
      <c r="D14" s="356" t="inlineStr">
        <is>
          <t>Team (Total internal resources) - High/Very High</t>
        </is>
      </c>
      <c r="E14" s="356" t="inlineStr">
        <is>
          <t>No fill</t>
        </is>
      </c>
      <c r="F14" s="356" t="inlineStr">
        <is>
          <t>Highlighted yellow to alert user to contact PMO and consult Complex Deal criteria</t>
        </is>
      </c>
      <c r="G14" s="356" t="inlineStr">
        <is>
          <t>Call attention to need to involve PMO and initiate Complex Deal process</t>
        </is>
      </c>
      <c r="H14" s="705" t="n">
        <v>44693</v>
      </c>
    </row>
    <row r="15" ht="29.1" customHeight="1" s="433">
      <c r="A15" s="355" t="inlineStr">
        <is>
          <t>20220505-1</t>
        </is>
      </c>
      <c r="B15" s="471" t="n">
        <v>44683</v>
      </c>
      <c r="C15" s="356" t="inlineStr">
        <is>
          <t>Melissa Kramer</t>
        </is>
      </c>
      <c r="D15" s="356" t="inlineStr">
        <is>
          <t>Change Management</t>
        </is>
      </c>
      <c r="E15" s="356" t="inlineStr">
        <is>
          <t>None</t>
        </is>
      </c>
      <c r="F15" s="356" t="inlineStr">
        <is>
          <t>Implement Change Log and utilize OCP for all changes</t>
        </is>
      </c>
      <c r="G15" s="356" t="inlineStr">
        <is>
          <t>Ensures appropriate visibility to changes</t>
        </is>
      </c>
      <c r="H15" s="705" t="n">
        <v>44693</v>
      </c>
    </row>
    <row r="16" ht="57.95" customHeight="1" s="433">
      <c r="A16" s="355">
        <f t="array" ref="A16">#REF!</f>
        <v/>
      </c>
      <c r="B16" s="471" t="n"/>
      <c r="C16" s="356" t="inlineStr">
        <is>
          <t>Melissa Kramer</t>
        </is>
      </c>
      <c r="D16" s="475" t="inlineStr">
        <is>
          <t>Minimum Duration (wks) Calc from Eng Hours</t>
        </is>
      </c>
      <c r="E16" s="475" t="inlineStr">
        <is>
          <t>Duration Calculation from Engineering Hours = (Total # of Engineering Hours / 40)/.85</t>
        </is>
      </c>
      <c r="F16" s="475" t="inlineStr">
        <is>
          <t xml:space="preserve">Duration Calculation from Engineering Hours = round up Total # of Engineering Hours / 40, then add 2 </t>
        </is>
      </c>
      <c r="G16" s="475" t="inlineStr">
        <is>
          <t>Ensures duration will round up to next week when returned value is greater than .0 and adds 2 weeks to account for a minimum 1 week start-up and 1 week close-out</t>
        </is>
      </c>
      <c r="H16" s="706" t="n">
        <v>44715</v>
      </c>
    </row>
    <row r="17" ht="43.5" customHeight="1" s="433">
      <c r="A17" s="355" t="n"/>
      <c r="B17" s="471" t="n"/>
      <c r="C17" s="356" t="inlineStr">
        <is>
          <t>Melissa Kramer</t>
        </is>
      </c>
      <c r="D17" s="475" t="inlineStr">
        <is>
          <t>Duration (weeks) Calc</t>
        </is>
      </c>
      <c r="E17" s="475" t="inlineStr">
        <is>
          <t>Pulls value in Minimum Duration (wks) field</t>
        </is>
      </c>
      <c r="F17" s="475" t="inlineStr">
        <is>
          <t>Cell is blank</t>
        </is>
      </c>
      <c r="G17" s="475" t="inlineStr">
        <is>
          <t>Ensures scoping tool user considers factors other engineering hours when determining project duration</t>
        </is>
      </c>
      <c r="H17" s="706" t="n">
        <v>44715</v>
      </c>
    </row>
    <row r="18" ht="101.45" customHeight="1" s="433">
      <c r="A18" s="355" t="n"/>
      <c r="B18" s="471" t="n"/>
      <c r="C18" s="356" t="inlineStr">
        <is>
          <t>Melissa Kramer</t>
        </is>
      </c>
      <c r="D18" s="475" t="inlineStr">
        <is>
          <t>Duration (weeks) - corresponding Notes/Assumptions cell</t>
        </is>
      </c>
      <c r="E18" s="477" t="n"/>
      <c r="F18" s="475" t="inlineStr">
        <is>
          <t>Populate with "Minimum Duration (wks) cell converts total # of engineering hours to weeks and adds two weeks for minimum start-up and close-out. When determining actual duration consider other factors such as HW timing, document review, spacing between cuts, etc."</t>
        </is>
      </c>
      <c r="G18" s="475" t="inlineStr">
        <is>
          <t>Ensures all project factors are considered when determining duration</t>
        </is>
      </c>
      <c r="H18" s="706" t="n">
        <v>44715</v>
      </c>
    </row>
    <row r="19" ht="43.5" customHeight="1" s="433">
      <c r="A19" s="355" t="n"/>
      <c r="B19" s="471" t="n"/>
      <c r="C19" s="356" t="inlineStr">
        <is>
          <t>Melissa Kramer</t>
        </is>
      </c>
      <c r="D19" s="356" t="inlineStr">
        <is>
          <t>Stakeholders/Delivery Complexity Category</t>
        </is>
      </c>
      <c r="E19" s="356" t="inlineStr">
        <is>
          <t>Fed and SLED are both considered Medium</t>
        </is>
      </c>
      <c r="F19" s="356" t="inlineStr">
        <is>
          <t>Move SLED Education to Low-Medium</t>
        </is>
      </c>
      <c r="G19" s="356" t="inlineStr">
        <is>
          <t>SLED Education is less challenging and citizen critical infrastructure (e.g., hospitals and airports) than SLED non-Education</t>
        </is>
      </c>
      <c r="H19" s="705" t="n">
        <v>44978</v>
      </c>
    </row>
    <row r="20" ht="43.5" customHeight="1" s="433">
      <c r="A20" s="355" t="n"/>
      <c r="B20" s="471" t="n"/>
      <c r="C20" s="356" t="inlineStr">
        <is>
          <t>Melissa Kramer</t>
        </is>
      </c>
      <c r="D20" s="356" t="inlineStr">
        <is>
          <t>Technology Complexity Category</t>
        </is>
      </c>
      <c r="E20" s="356" t="inlineStr">
        <is>
          <t>Fed and SLED technology rollouts are both considered Medium</t>
        </is>
      </c>
      <c r="F20" s="356" t="inlineStr">
        <is>
          <t>Move SLED Education to Low-Medium</t>
        </is>
      </c>
      <c r="G20" s="356" t="inlineStr">
        <is>
          <t>SLED Education is less challenging and citizen critical infrastructure (e.g., hospitals and airports) than SLED non-Education</t>
        </is>
      </c>
      <c r="H20" s="705" t="n">
        <v>44978</v>
      </c>
    </row>
    <row r="21" ht="29.1" customHeight="1" s="433">
      <c r="A21" s="355" t="n"/>
      <c r="B21" s="471" t="n"/>
      <c r="C21" s="356" t="inlineStr">
        <is>
          <t>Melissa Kramer</t>
        </is>
      </c>
      <c r="D21" s="356" t="inlineStr">
        <is>
          <t>Technology Complexity Category</t>
        </is>
      </c>
      <c r="E21" s="356" t="inlineStr">
        <is>
          <t>Contact Center and ISE are considered Medium; Cloud isn't captured anywhere</t>
        </is>
      </c>
      <c r="F21" s="356" t="inlineStr">
        <is>
          <t>Move Contact Center and ISE and add Cloud to High</t>
        </is>
      </c>
      <c r="G21" s="356" t="inlineStr">
        <is>
          <t>Contact Center, ISE, and Cloud projects are proving to be more complex to manage</t>
        </is>
      </c>
      <c r="H21" s="705" t="n">
        <v>44978</v>
      </c>
    </row>
    <row r="22" ht="43.5" customHeight="1" s="433">
      <c r="A22" s="355" t="n"/>
      <c r="B22" s="471" t="n"/>
      <c r="C22" s="356" t="inlineStr">
        <is>
          <t>Melissa Kramer</t>
        </is>
      </c>
      <c r="D22" s="356" t="inlineStr">
        <is>
          <t>PMO Resource Level Determination</t>
        </is>
      </c>
      <c r="E22" s="356" t="inlineStr">
        <is>
          <t xml:space="preserve">Only complexity ranking determines resource level </t>
        </is>
      </c>
      <c r="F22" s="356" t="inlineStr">
        <is>
          <t>Complexity ranking, high technology selection (F8), and very high technology selection (G8) determines resource level</t>
        </is>
      </c>
      <c r="G22" s="356" t="inlineStr">
        <is>
          <t>Contact Center, ISE, and Cloud projects are proving to be more complex to manage</t>
        </is>
      </c>
      <c r="H22" s="705" t="n">
        <v>44978</v>
      </c>
    </row>
  </sheetData>
  <autoFilter ref="A1:H22"/>
  <pageMargins left="0.7" right="0.7" top="0.75" bottom="0.75" header="0.3" footer="0.3"/>
  <pageSetup orientation="landscape" scale="86" fitToHeight="0"/>
  <headerFooter>
    <oddHeader/>
    <oddFooter>&amp;C&amp;"Calibri"&amp;10 &amp;K008000_x000d_# GENERAL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Sheet4"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ColWidth="9" defaultRowHeight="14.1"/>
  <cols>
    <col width="8.5" customWidth="1" style="1" min="1" max="1"/>
    <col width="54.5" customWidth="1" style="1" min="2" max="2"/>
    <col width="44.5" customWidth="1" style="1" min="3" max="3"/>
    <col width="7.5" customWidth="1" style="25" min="4" max="6"/>
    <col width="12" customWidth="1" style="1" min="7" max="7"/>
    <col width="14.5" customWidth="1" style="1" min="8" max="8"/>
    <col width="9" customWidth="1" style="1" min="9" max="9"/>
    <col width="11" customWidth="1" style="1" min="10" max="10"/>
    <col width="11.5" customWidth="1" style="1" min="11" max="11"/>
    <col width="9" customWidth="1" style="1" min="12" max="12"/>
    <col width="9" customWidth="1" style="1" min="13" max="16384"/>
  </cols>
  <sheetData>
    <row r="1">
      <c r="A1" s="33" t="inlineStr">
        <is>
          <t>&lt;Go Back to Summary&gt;</t>
        </is>
      </c>
      <c r="B1" s="458" t="n"/>
      <c r="C1" s="458" t="n"/>
      <c r="D1" s="59" t="n"/>
      <c r="E1" s="59" t="n"/>
      <c r="F1" s="59" t="n"/>
      <c r="G1" s="458" t="n"/>
      <c r="H1" s="458" t="n"/>
    </row>
    <row r="2">
      <c r="A2" s="33" t="n"/>
      <c r="B2" s="458" t="n"/>
      <c r="C2" s="458" t="n"/>
      <c r="D2" s="59" t="n"/>
      <c r="E2" s="59" t="n"/>
      <c r="F2" s="59" t="n"/>
      <c r="G2" s="458" t="n"/>
      <c r="H2" s="458" t="n"/>
    </row>
    <row r="3">
      <c r="A3" s="2" t="inlineStr">
        <is>
          <t>Estimate for Supply Chain Services</t>
        </is>
      </c>
      <c r="B3" s="458" t="n"/>
      <c r="C3" s="458" t="n"/>
      <c r="D3" s="59" t="n"/>
      <c r="E3" s="59" t="n"/>
      <c r="F3" s="59" t="n"/>
      <c r="G3" s="458" t="n"/>
      <c r="H3" s="458" t="n"/>
    </row>
    <row r="4">
      <c r="A4" s="2">
        <f>IF('Summary Old'!#REF!&lt;&gt;"",'Summary Old'!#REF!&amp;" - "&amp;'Summary Old'!#REF!,"&lt;Customer and Project not assigned&gt;")</f>
        <v/>
      </c>
      <c r="B4" s="458" t="n"/>
      <c r="C4" s="458" t="n"/>
      <c r="D4" s="59" t="n"/>
      <c r="E4" s="59" t="n"/>
      <c r="F4" s="59" t="n"/>
      <c r="G4" s="458" t="n"/>
      <c r="H4" s="458" t="n"/>
    </row>
    <row r="5">
      <c r="A5" s="2">
        <f>IF('Summary Old'!#REF!&lt;&gt;"",'Summary Old'!#REF!,"&lt;IR not assigned&gt;")</f>
        <v/>
      </c>
      <c r="B5" s="458" t="n"/>
      <c r="C5" s="458" t="n"/>
      <c r="D5" s="59" t="n"/>
      <c r="E5" s="59" t="n"/>
      <c r="F5" s="59" t="n"/>
      <c r="G5" s="458" t="n"/>
      <c r="H5" s="458" t="n"/>
    </row>
    <row r="6" ht="14.45" customHeight="1" s="433" thickBot="1">
      <c r="A6" s="458" t="n"/>
      <c r="B6" s="458" t="n"/>
      <c r="C6" s="458" t="n"/>
      <c r="D6" s="59" t="n"/>
      <c r="E6" s="59" t="n"/>
      <c r="F6" s="59" t="n"/>
      <c r="G6" s="458" t="n"/>
      <c r="H6" s="458" t="n"/>
    </row>
    <row r="7" ht="14.45" customFormat="1" customHeight="1" s="25" thickBot="1">
      <c r="A7" s="3" t="inlineStr">
        <is>
          <t xml:space="preserve">Internal Quote </t>
        </is>
      </c>
      <c r="B7" s="4" t="n"/>
      <c r="C7" s="4" t="n"/>
      <c r="D7" s="24" t="n"/>
      <c r="E7" s="24" t="n"/>
      <c r="F7" s="24" t="n"/>
      <c r="G7" s="4" t="n"/>
      <c r="H7" s="9" t="n"/>
    </row>
    <row r="8">
      <c r="A8" s="2" t="n"/>
      <c r="B8" s="458" t="n"/>
      <c r="C8" s="695" t="n"/>
      <c r="D8" s="695" t="n"/>
      <c r="E8" s="695" t="n"/>
      <c r="F8" s="695" t="n"/>
      <c r="G8" s="695" t="n"/>
      <c r="H8" s="695" t="n"/>
    </row>
    <row r="9">
      <c r="A9" s="2" t="n"/>
      <c r="B9" s="458" t="n"/>
      <c r="C9" t="inlineStr">
        <is>
          <t>Internal Cost from "ITC Config" tool</t>
        </is>
      </c>
      <c r="D9" s="707" t="n">
        <v>0</v>
      </c>
      <c r="E9" s="478" t="n"/>
      <c r="F9" s="479" t="n"/>
      <c r="G9" s="695" t="n"/>
      <c r="H9" s="695">
        <f>D9</f>
        <v/>
      </c>
    </row>
    <row r="10">
      <c r="A10" s="2" t="n"/>
      <c r="B10" s="458" t="n"/>
      <c r="C10" s="458" t="n"/>
      <c r="D10" s="16" t="n"/>
      <c r="E10" s="59" t="n"/>
      <c r="F10" s="59" t="n"/>
      <c r="G10" s="695" t="n"/>
      <c r="H10" s="695" t="n"/>
    </row>
    <row r="11">
      <c r="A11" s="2" t="n"/>
      <c r="B11" s="2" t="n"/>
      <c r="C11" s="84" t="inlineStr">
        <is>
          <t>NOTE: Expenses have been moved under WBS</t>
        </is>
      </c>
      <c r="D11" s="422" t="n"/>
      <c r="E11" s="422" t="n"/>
      <c r="F11" s="422" t="n"/>
      <c r="G11" s="693" t="n"/>
      <c r="H11" s="693" t="n"/>
    </row>
    <row r="12" ht="14.45" customHeight="1" s="433" thickBot="1">
      <c r="A12" s="2" t="n"/>
      <c r="B12" s="2" t="n"/>
      <c r="C12" s="2" t="n"/>
      <c r="D12" s="422" t="inlineStr">
        <is>
          <t>Qty A</t>
        </is>
      </c>
      <c r="E12" s="422" t="inlineStr">
        <is>
          <t>Qty B</t>
        </is>
      </c>
      <c r="F12" s="422" t="inlineStr">
        <is>
          <t>A*B</t>
        </is>
      </c>
      <c r="G12" s="694" t="inlineStr">
        <is>
          <t>UnitCost</t>
        </is>
      </c>
      <c r="H12" s="694" t="inlineStr">
        <is>
          <t>ExtCost</t>
        </is>
      </c>
    </row>
    <row r="13" ht="14.45" customHeight="1" s="433" thickBot="1">
      <c r="A13" s="3" t="inlineStr">
        <is>
          <t>Additional PM &amp; Warehouse Labor (2014)</t>
        </is>
      </c>
      <c r="B13" s="4" t="n"/>
      <c r="C13" s="4" t="n"/>
      <c r="D13" s="24" t="n"/>
      <c r="E13" s="24" t="n"/>
      <c r="F13" s="24" t="n"/>
      <c r="G13" s="24" t="n"/>
      <c r="H13" s="36" t="n"/>
    </row>
    <row r="14">
      <c r="A14" s="2" t="n"/>
      <c r="B14" s="2" t="n"/>
      <c r="C14" s="458" t="n"/>
      <c r="D14" s="59" t="n"/>
      <c r="E14" s="59" t="n"/>
      <c r="F14" s="59" t="n"/>
      <c r="G14" s="695" t="n"/>
      <c r="H14" s="695" t="n"/>
    </row>
    <row r="15">
      <c r="A15" s="2" t="n"/>
      <c r="B15" t="inlineStr">
        <is>
          <t>Supply Chain Program Management</t>
        </is>
      </c>
      <c r="C15" t="inlineStr">
        <is>
          <t>per hour</t>
        </is>
      </c>
      <c r="D15" s="35" t="n"/>
      <c r="E15" s="35" t="n">
        <v>1</v>
      </c>
      <c r="F15" s="61">
        <f>D15*E15</f>
        <v/>
      </c>
      <c r="G15" s="695" t="n"/>
      <c r="H15" s="695">
        <f>F15*G15</f>
        <v/>
      </c>
    </row>
    <row r="17">
      <c r="A17" s="2" t="n"/>
      <c r="B17" t="inlineStr">
        <is>
          <t>Material Operations</t>
        </is>
      </c>
      <c r="C17" t="inlineStr">
        <is>
          <t>per hour</t>
        </is>
      </c>
      <c r="D17" s="35" t="n"/>
      <c r="E17" s="35" t="n">
        <v>1</v>
      </c>
      <c r="F17" s="61">
        <f>D17*E17</f>
        <v/>
      </c>
      <c r="G17" s="695" t="n"/>
      <c r="H17" s="695">
        <f>F17*G17</f>
        <v/>
      </c>
    </row>
    <row r="18">
      <c r="A18" s="2" t="n"/>
      <c r="B18" t="inlineStr">
        <is>
          <t>Shipping &amp; Receiving</t>
        </is>
      </c>
      <c r="C18" t="inlineStr">
        <is>
          <t>per hour</t>
        </is>
      </c>
      <c r="D18" s="35" t="n"/>
      <c r="E18" s="35" t="n">
        <v>1</v>
      </c>
      <c r="F18" s="61">
        <f>D18*E18</f>
        <v/>
      </c>
      <c r="G18" s="695" t="n"/>
      <c r="H18" s="695">
        <f>F18*G18</f>
        <v/>
      </c>
    </row>
    <row r="26" ht="14.45" customHeight="1" s="433" thickBot="1">
      <c r="A26" s="458" t="n"/>
      <c r="B26" s="458" t="n"/>
      <c r="C26" s="458" t="n"/>
      <c r="D26" s="59" t="n"/>
      <c r="E26" s="59" t="n"/>
      <c r="F26" s="59" t="n"/>
      <c r="G26" s="458" t="n"/>
      <c r="H26" s="458" t="n"/>
    </row>
    <row r="27" ht="14.45" customHeight="1" s="433" thickTop="1">
      <c r="A27" s="6" t="inlineStr">
        <is>
          <t>Total</t>
        </is>
      </c>
      <c r="B27" s="8" t="n"/>
      <c r="C27" s="8" t="n"/>
      <c r="D27" s="34" t="n"/>
      <c r="E27" s="34" t="n"/>
      <c r="F27" s="34" t="n"/>
      <c r="G27" s="8" t="n"/>
      <c r="H27" s="696">
        <f>ROUND(SUM(H7:H26),2)</f>
        <v/>
      </c>
    </row>
  </sheetData>
  <mergeCells count="1">
    <mergeCell ref="D9:F9"/>
  </mergeCells>
  <hyperlinks>
    <hyperlink ref="A1" location="Summary!A1" display="Back to Summary"/>
  </hyperlinks>
  <pageMargins left="0.7" right="0.7" top="0.75" bottom="0.75" header="0.3" footer="0.3"/>
  <pageSetup orientation="landscape" scale="65" fitToHeight="999"/>
  <headerFooter>
    <oddHeader/>
    <oddFooter>&amp;C&amp;"Calibri"&amp;10 &amp;K008000_x000d_#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Glynn</dc:creator>
  <dc:title>Estimating Tool</dc:title>
  <dcterms:created xsi:type="dcterms:W3CDTF">2010-01-31T00:55:30Z</dcterms:created>
  <dcterms:modified xsi:type="dcterms:W3CDTF">2026-02-27T03:44:27Z</dcterms:modified>
  <cp:lastModifiedBy>Surender Yerram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0x010100B9E2BFE4DAB4E742BD2FFA13FB59D674</vt:lpwstr>
  </property>
  <property name="xd_ProgID" fmtid="{D5CDD505-2E9C-101B-9397-08002B2CF9AE}" pid="3">
    <vt:lpwstr/>
  </property>
  <property name="ComplianceAssetId" fmtid="{D5CDD505-2E9C-101B-9397-08002B2CF9AE}" pid="4">
    <vt:lpwstr/>
  </property>
  <property name="TemplateUrl" fmtid="{D5CDD505-2E9C-101B-9397-08002B2CF9AE}" pid="5">
    <vt:lpwstr/>
  </property>
  <property name="_ExtendedDescription" fmtid="{D5CDD505-2E9C-101B-9397-08002B2CF9AE}" pid="6">
    <vt:lpwstr/>
  </property>
  <property name="TriggerFlowInfo" fmtid="{D5CDD505-2E9C-101B-9397-08002B2CF9AE}" pid="7">
    <vt:lpwstr/>
  </property>
  <property name="xd_Signature" fmtid="{D5CDD505-2E9C-101B-9397-08002B2CF9AE}" pid="8">
    <vt:bool>0</vt:bool>
  </property>
  <property name="MediaServiceImageTags" fmtid="{D5CDD505-2E9C-101B-9397-08002B2CF9AE}" pid="9">
    <vt:lpwstr/>
  </property>
</Properties>
</file>